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3B86BAA-08B3-4FB8-8AA8-06058972F161}" xr6:coauthVersionLast="47" xr6:coauthVersionMax="47" xr10:uidLastSave="{00000000-0000-0000-0000-000000000000}"/>
  <bookViews>
    <workbookView xWindow="-110" yWindow="-110" windowWidth="19420" windowHeight="10300" tabRatio="813" activeTab="6" xr2:uid="{00000000-000D-0000-FFFF-FFFF00000000}"/>
  </bookViews>
  <sheets>
    <sheet name="Dashboard" sheetId="61" r:id="rId1"/>
    <sheet name="Total" sheetId="51" r:id="rId2"/>
    <sheet name="Male" sheetId="52" r:id="rId3"/>
    <sheet name="Female" sheetId="53" r:id="rId4"/>
    <sheet name="Worksheet(Male)" sheetId="56" r:id="rId5"/>
    <sheet name="Worksheet(Female)" sheetId="57" r:id="rId6"/>
    <sheet name="Worksheet(Total)" sheetId="58" r:id="rId7"/>
    <sheet name="Pivot Table" sheetId="59" r:id="rId8"/>
  </sheets>
  <definedNames>
    <definedName name="_xlnm._FilterDatabase" localSheetId="3" hidden="1">Female!$B$8:$Y$59</definedName>
    <definedName name="_xlnm._FilterDatabase" localSheetId="1" hidden="1">Total!$C$4:$Y$59</definedName>
    <definedName name="_xlnm.Print_Area" localSheetId="3">Female!$B$1:$AA$64</definedName>
    <definedName name="_xlnm.Print_Area" localSheetId="2">Male!$B$1:$AA$64</definedName>
    <definedName name="_xlnm.Print_Area" localSheetId="1">Total!$B$1:$AA$64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62" i="51" l="1"/>
  <c r="B2" i="51" l="1"/>
  <c r="A7" i="53" l="1"/>
  <c r="A7" i="52"/>
  <c r="B2" i="52" l="1"/>
  <c r="B62" i="52"/>
  <c r="B2" i="53"/>
  <c r="B62" i="53"/>
</calcChain>
</file>

<file path=xl/sharedStrings.xml><?xml version="1.0" encoding="utf-8"?>
<sst xmlns="http://schemas.openxmlformats.org/spreadsheetml/2006/main" count="733" uniqueCount="107">
  <si>
    <t>State</t>
  </si>
  <si>
    <t>Total Students</t>
  </si>
  <si>
    <t>Students With Disabilities Served Under IDEA</t>
  </si>
  <si>
    <t>Students With Disabilities Served Only Under Section 504</t>
  </si>
  <si>
    <t>English Language Learners</t>
  </si>
  <si>
    <t>Number of Schools</t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</si>
  <si>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</si>
  <si>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</si>
  <si>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</si>
  <si>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</si>
  <si>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</si>
  <si>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</si>
  <si>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</si>
  <si>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</si>
  <si>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Number</t>
  </si>
  <si>
    <t>Percent </t>
  </si>
  <si>
    <t>Percent</t>
  </si>
  <si>
    <t>disciplined for engaging in harassment or bullying on the basis of disability</t>
  </si>
  <si>
    <t>reported to have been harassed or bullied on the basis of disability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</si>
  <si>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</si>
  <si>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</si>
  <si>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</si>
  <si>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</si>
  <si>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</si>
  <si>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</si>
  <si>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</si>
  <si>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</si>
  <si>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</si>
  <si>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</si>
  <si>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</si>
  <si>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</si>
  <si>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</si>
  <si>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</si>
  <si>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</si>
  <si>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</si>
  <si>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</si>
  <si>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</si>
  <si>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</si>
  <si>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</si>
  <si>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</si>
  <si>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</si>
  <si>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</si>
  <si>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</si>
  <si>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</si>
  <si>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</si>
  <si>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</si>
  <si>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</si>
  <si>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</si>
  <si>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</si>
  <si>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</si>
  <si>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</si>
  <si>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</si>
  <si>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</si>
  <si>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</si>
  <si>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</si>
  <si>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</si>
  <si>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</si>
  <si>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</si>
  <si>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</si>
  <si>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</si>
  <si>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</si>
  <si>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</si>
  <si>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</si>
  <si>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</si>
  <si>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</si>
  <si>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</si>
  <si>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</si>
  <si>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</si>
  <si>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</si>
  <si>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</si>
  <si>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SOURCE: U.S. Department of Education, Office for Civil Rights, Civil Rights Data Collection, 2017-18, available at http://ocrdata.ed.gov.</t>
  </si>
  <si>
    <t>Puerto Rico</t>
  </si>
  <si>
    <t>50 states, District of Columbia, and Puerto Rico</t>
  </si>
  <si>
    <t>Data reported in this table represent 99.2% of responding schools.</t>
  </si>
  <si>
    <t>Race/Ethnicity</t>
  </si>
  <si>
    <r>
      <t>Percent</t>
    </r>
    <r>
      <rPr>
        <b/>
        <vertAlign val="superscript"/>
        <sz val="10"/>
        <rFont val="Arial"/>
        <family val="2"/>
      </rPr>
      <t>1</t>
    </r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</si>
  <si>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Percentage over all public school students with and without disabilities (both students with disabilities served under IDEA and students with disabilities served solely under Section 504).</t>
    </r>
  </si>
  <si>
    <t>1 Percentage over all public school students with and without disabilities (both students with disabilities served under IDEA and students with disabilities served solely under Section 504).</t>
  </si>
  <si>
    <t>Asian%</t>
  </si>
  <si>
    <t>Hispanic or Latino of any race%</t>
  </si>
  <si>
    <t>White%</t>
  </si>
  <si>
    <t>Number And Percentage Of Public School Students Disciplined For Engaging In Harassment Or Bullying On The Basis Of Disability, By Race/Ethnicity, Disability Status, And English Proficiency, By State: School Year 2017-18</t>
  </si>
  <si>
    <t>American Indian or Alaska Native%</t>
  </si>
  <si>
    <t>Native Hawaiian or Other Pacific Islander%</t>
  </si>
  <si>
    <t>Two or More Races%</t>
  </si>
  <si>
    <t>Students With Disabilities Served under IDEA%</t>
  </si>
  <si>
    <t>Students With Disabilities Served Only Under Section 504%</t>
  </si>
  <si>
    <t>English Language Learners%</t>
  </si>
  <si>
    <t>Percent of School Reporting%</t>
  </si>
  <si>
    <t>Black or African American%</t>
  </si>
  <si>
    <t>Number And Percentage Of Public School Male Students Disciplined For Engaging In Harassment Or Bullying On The Basis Of Disability, By Race/Ethnicity, Disability Status, And English Proficiency, By State: School Year 2017-18</t>
  </si>
  <si>
    <t>Number And Percentage Of Public School Female Students Disciplined For Engaging In Harassment Or Bullying On The Basis Of Disability, By Race/Ethnicity, Disability Status, And English Proficiency, By State: School Year 2017-18</t>
  </si>
  <si>
    <t>Row Labels</t>
  </si>
  <si>
    <t>Average of American Indian or Alaska Native%</t>
  </si>
  <si>
    <t>Average of Hispanic or Latino of any race%</t>
  </si>
  <si>
    <t>Average of White%</t>
  </si>
  <si>
    <t>Average of Two or More Races%</t>
  </si>
  <si>
    <t>Average of Students With Disabilities Served under IDEA%</t>
  </si>
  <si>
    <t>Average of English Language Learners%</t>
  </si>
  <si>
    <t>Average of Percent of School Reporting%</t>
  </si>
  <si>
    <t>Average of Asian%</t>
  </si>
  <si>
    <t>Average of Black or African American%</t>
  </si>
  <si>
    <t>Average of Native Hawaiian or Other Pacific Islander%</t>
  </si>
  <si>
    <t>American Indian or Alaska Native</t>
  </si>
  <si>
    <t>Average of Students With Disabilities Served Only Under Section 504%</t>
  </si>
  <si>
    <t>Sum of Total Students</t>
  </si>
  <si>
    <t>Sum of Number of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</si>
</sst>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_)"/>
    <numFmt numFmtId="165" formatCode="#,##0_)"/>
    <numFmt numFmtId="166" formatCode="0.0"/>
  </numFmts>
  <fonts count="26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rgb="FF333399"/>
      <name val="Arial"/>
      <family val="2"/>
    </font>
    <font>
      <sz val="11"/>
      <color rgb="FF333399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rgb="FF333399"/>
      <name val="Arial"/>
      <family val="2"/>
    </font>
    <font>
      <sz val="14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u/>
      <sz val="10"/>
      <color theme="10"/>
      <name val="Arial Narrow"/>
      <family val="2"/>
    </font>
    <font>
      <u/>
      <sz val="10"/>
      <color theme="11"/>
      <name val="Arial Narrow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sz val="8"/>
      <name val="Arial Narrow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</borders>
  <cellStyleXfs count="138">
    <xf numFmtId="0" fontId="0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108">
    <xf numFmtId="0" fontId="0" fillId="0" borderId="0" xfId="0"/>
    <xf numFmtId="0" fontId="6" fillId="0" borderId="0" xfId="2" applyFont="1"/>
    <xf numFmtId="0" fontId="8" fillId="0" borderId="0" xfId="2" applyFont="1" applyAlignment="1">
      <alignment horizontal="left"/>
    </xf>
    <xf numFmtId="0" fontId="3" fillId="0" borderId="1" xfId="1" applyFont="1" applyBorder="1"/>
    <xf numFmtId="1" fontId="4" fillId="0" borderId="1" xfId="1" applyNumberFormat="1" applyFont="1" applyBorder="1" applyAlignment="1">
      <alignment wrapText="1"/>
    </xf>
    <xf numFmtId="0" fontId="6" fillId="0" borderId="0" xfId="2" applyFont="1" applyBorder="1"/>
    <xf numFmtId="0" fontId="10" fillId="0" borderId="0" xfId="4" applyFont="1" applyBorder="1"/>
    <xf numFmtId="0" fontId="10" fillId="0" borderId="0" xfId="4" applyFont="1"/>
    <xf numFmtId="0" fontId="13" fillId="0" borderId="0" xfId="2" applyFont="1"/>
    <xf numFmtId="0" fontId="14" fillId="0" borderId="0" xfId="2" applyFont="1" applyAlignment="1">
      <alignment horizontal="left"/>
    </xf>
    <xf numFmtId="0" fontId="13" fillId="0" borderId="0" xfId="4" applyFont="1"/>
    <xf numFmtId="0" fontId="16" fillId="0" borderId="0" xfId="2" applyFont="1" applyFill="1" applyAlignment="1"/>
    <xf numFmtId="0" fontId="18" fillId="0" borderId="0" xfId="2" applyFont="1" applyFill="1" applyAlignment="1"/>
    <xf numFmtId="0" fontId="17" fillId="0" borderId="10" xfId="3" applyFont="1" applyFill="1" applyBorder="1" applyAlignment="1"/>
    <xf numFmtId="1" fontId="17" fillId="0" borderId="11" xfId="3" applyNumberFormat="1" applyFont="1" applyFill="1" applyBorder="1" applyAlignment="1">
      <alignment horizontal="right" wrapText="1"/>
    </xf>
    <xf numFmtId="1" fontId="17" fillId="0" borderId="16" xfId="0" applyNumberFormat="1" applyFont="1" applyBorder="1" applyAlignment="1">
      <alignment horizontal="right" wrapText="1"/>
    </xf>
    <xf numFmtId="1" fontId="17" fillId="0" borderId="1" xfId="3" applyNumberFormat="1" applyFont="1" applyFill="1" applyBorder="1" applyAlignment="1">
      <alignment horizontal="right" wrapText="1"/>
    </xf>
    <xf numFmtId="1" fontId="17" fillId="0" borderId="18" xfId="0" applyNumberFormat="1" applyFont="1" applyBorder="1" applyAlignment="1">
      <alignment horizontal="right" wrapText="1"/>
    </xf>
    <xf numFmtId="1" fontId="17" fillId="0" borderId="10" xfId="3" applyNumberFormat="1" applyFont="1" applyFill="1" applyBorder="1" applyAlignment="1">
      <alignment horizontal="right" wrapText="1"/>
    </xf>
    <xf numFmtId="1" fontId="17" fillId="0" borderId="21" xfId="3" applyNumberFormat="1" applyFont="1" applyFill="1" applyBorder="1" applyAlignment="1">
      <alignment wrapText="1"/>
    </xf>
    <xf numFmtId="1" fontId="17" fillId="0" borderId="17" xfId="3" applyNumberFormat="1" applyFont="1" applyFill="1" applyBorder="1" applyAlignment="1">
      <alignment wrapText="1"/>
    </xf>
    <xf numFmtId="0" fontId="16" fillId="0" borderId="0" xfId="4" applyFont="1" applyFill="1"/>
    <xf numFmtId="165" fontId="18" fillId="2" borderId="20" xfId="2" applyNumberFormat="1" applyFont="1" applyFill="1" applyBorder="1" applyAlignment="1">
      <alignment horizontal="right"/>
    </xf>
    <xf numFmtId="165" fontId="18" fillId="2" borderId="13" xfId="2" applyNumberFormat="1" applyFont="1" applyFill="1" applyBorder="1" applyAlignment="1">
      <alignment horizontal="right"/>
    </xf>
    <xf numFmtId="164" fontId="18" fillId="2" borderId="14" xfId="2" applyNumberFormat="1" applyFont="1" applyFill="1" applyBorder="1" applyAlignment="1">
      <alignment horizontal="right"/>
    </xf>
    <xf numFmtId="165" fontId="18" fillId="2" borderId="0" xfId="2" applyNumberFormat="1" applyFont="1" applyFill="1" applyBorder="1" applyAlignment="1">
      <alignment horizontal="right"/>
    </xf>
    <xf numFmtId="165" fontId="18" fillId="2" borderId="19" xfId="2" applyNumberFormat="1" applyFont="1" applyFill="1" applyBorder="1" applyAlignment="1">
      <alignment horizontal="right"/>
    </xf>
    <xf numFmtId="164" fontId="18" fillId="2" borderId="5" xfId="2" applyNumberFormat="1" applyFont="1" applyFill="1" applyBorder="1" applyAlignment="1">
      <alignment horizontal="right"/>
    </xf>
    <xf numFmtId="165" fontId="18" fillId="2" borderId="23" xfId="2" applyNumberFormat="1" applyFont="1" applyFill="1" applyBorder="1" applyAlignment="1">
      <alignment horizontal="right"/>
    </xf>
    <xf numFmtId="164" fontId="18" fillId="2" borderId="0" xfId="2" applyNumberFormat="1" applyFont="1" applyFill="1" applyBorder="1" applyAlignment="1">
      <alignment horizontal="right"/>
    </xf>
    <xf numFmtId="37" fontId="18" fillId="2" borderId="20" xfId="4" applyNumberFormat="1" applyFont="1" applyFill="1" applyBorder="1"/>
    <xf numFmtId="164" fontId="18" fillId="2" borderId="19" xfId="2" applyNumberFormat="1" applyFont="1" applyFill="1" applyBorder="1"/>
    <xf numFmtId="0" fontId="18" fillId="0" borderId="0" xfId="4" applyFont="1" applyFill="1"/>
    <xf numFmtId="0" fontId="18" fillId="0" borderId="0" xfId="23" applyFont="1" applyFill="1" applyBorder="1"/>
    <xf numFmtId="165" fontId="18" fillId="0" borderId="20" xfId="2" applyNumberFormat="1" applyFont="1" applyFill="1" applyBorder="1" applyAlignment="1">
      <alignment horizontal="right"/>
    </xf>
    <xf numFmtId="165" fontId="18" fillId="0" borderId="13" xfId="2" applyNumberFormat="1" applyFont="1" applyFill="1" applyBorder="1" applyAlignment="1">
      <alignment horizontal="right"/>
    </xf>
    <xf numFmtId="164" fontId="18" fillId="0" borderId="14" xfId="2" applyNumberFormat="1" applyFont="1" applyFill="1" applyBorder="1" applyAlignment="1">
      <alignment horizontal="right"/>
    </xf>
    <xf numFmtId="165" fontId="18" fillId="0" borderId="0" xfId="2" applyNumberFormat="1" applyFont="1" applyFill="1" applyBorder="1" applyAlignment="1">
      <alignment horizontal="right"/>
    </xf>
    <xf numFmtId="164" fontId="18" fillId="0" borderId="5" xfId="2" applyNumberFormat="1" applyFont="1" applyFill="1" applyBorder="1" applyAlignment="1">
      <alignment horizontal="right"/>
    </xf>
    <xf numFmtId="164" fontId="18" fillId="0" borderId="0" xfId="2" applyNumberFormat="1" applyFont="1" applyFill="1" applyBorder="1" applyAlignment="1">
      <alignment horizontal="right"/>
    </xf>
    <xf numFmtId="37" fontId="18" fillId="0" borderId="20" xfId="4" applyNumberFormat="1" applyFont="1" applyFill="1" applyBorder="1"/>
    <xf numFmtId="164" fontId="18" fillId="0" borderId="19" xfId="2" applyNumberFormat="1" applyFont="1" applyFill="1" applyBorder="1"/>
    <xf numFmtId="0" fontId="18" fillId="2" borderId="0" xfId="23" applyFont="1" applyFill="1" applyBorder="1"/>
    <xf numFmtId="165" fontId="18" fillId="2" borderId="0" xfId="2" quotePrefix="1" applyNumberFormat="1" applyFont="1" applyFill="1" applyBorder="1" applyAlignment="1">
      <alignment horizontal="right"/>
    </xf>
    <xf numFmtId="165" fontId="18" fillId="2" borderId="13" xfId="2" quotePrefix="1" applyNumberFormat="1" applyFont="1" applyFill="1" applyBorder="1" applyAlignment="1">
      <alignment horizontal="right"/>
    </xf>
    <xf numFmtId="165" fontId="18" fillId="0" borderId="0" xfId="2" quotePrefix="1" applyNumberFormat="1" applyFont="1" applyFill="1" applyBorder="1" applyAlignment="1">
      <alignment horizontal="right"/>
    </xf>
    <xf numFmtId="165" fontId="18" fillId="0" borderId="13" xfId="2" quotePrefix="1" applyNumberFormat="1" applyFont="1" applyFill="1" applyBorder="1" applyAlignment="1">
      <alignment horizontal="right"/>
    </xf>
    <xf numFmtId="165" fontId="18" fillId="2" borderId="19" xfId="2" quotePrefix="1" applyNumberFormat="1" applyFont="1" applyFill="1" applyBorder="1" applyAlignment="1">
      <alignment horizontal="right"/>
    </xf>
    <xf numFmtId="165" fontId="18" fillId="0" borderId="19" xfId="2" quotePrefix="1" applyNumberFormat="1" applyFont="1" applyFill="1" applyBorder="1" applyAlignment="1">
      <alignment horizontal="right"/>
    </xf>
    <xf numFmtId="0" fontId="16" fillId="3" borderId="0" xfId="2" applyFont="1" applyFill="1" applyBorder="1"/>
    <xf numFmtId="0" fontId="20" fillId="0" borderId="0" xfId="2" applyFont="1"/>
    <xf numFmtId="0" fontId="18" fillId="0" borderId="0" xfId="4" applyFont="1"/>
    <xf numFmtId="1" fontId="17" fillId="0" borderId="31" xfId="3" applyNumberFormat="1" applyFont="1" applyFill="1" applyBorder="1" applyAlignment="1">
      <alignment vertical="center" wrapText="1"/>
    </xf>
    <xf numFmtId="0" fontId="16" fillId="0" borderId="0" xfId="4" applyFont="1"/>
    <xf numFmtId="0" fontId="20" fillId="0" borderId="0" xfId="2" applyFont="1" applyBorder="1"/>
    <xf numFmtId="0" fontId="18" fillId="0" borderId="0" xfId="4" applyFont="1" applyBorder="1"/>
    <xf numFmtId="0" fontId="18" fillId="0" borderId="0" xfId="2" applyFont="1" applyFill="1"/>
    <xf numFmtId="0" fontId="18" fillId="0" borderId="0" xfId="2" applyFont="1" applyFill="1" applyBorder="1"/>
    <xf numFmtId="0" fontId="18" fillId="0" borderId="0" xfId="2" quotePrefix="1" applyFont="1" applyFill="1" applyAlignment="1">
      <alignment horizontal="left"/>
    </xf>
    <xf numFmtId="0" fontId="17" fillId="2" borderId="12" xfId="3" applyFont="1" applyFill="1" applyBorder="1" applyAlignment="1">
      <alignment horizontal="left" vertical="center"/>
    </xf>
    <xf numFmtId="165" fontId="18" fillId="2" borderId="21" xfId="2" applyNumberFormat="1" applyFont="1" applyFill="1" applyBorder="1" applyAlignment="1">
      <alignment horizontal="right"/>
    </xf>
    <xf numFmtId="165" fontId="18" fillId="2" borderId="11" xfId="2" quotePrefix="1" applyNumberFormat="1" applyFont="1" applyFill="1" applyBorder="1" applyAlignment="1">
      <alignment horizontal="right"/>
    </xf>
    <xf numFmtId="164" fontId="18" fillId="2" borderId="15" xfId="2" applyNumberFormat="1" applyFont="1" applyFill="1" applyBorder="1" applyAlignment="1">
      <alignment horizontal="right"/>
    </xf>
    <xf numFmtId="165" fontId="18" fillId="2" borderId="1" xfId="2" applyNumberFormat="1" applyFont="1" applyFill="1" applyBorder="1" applyAlignment="1">
      <alignment horizontal="right"/>
    </xf>
    <xf numFmtId="165" fontId="18" fillId="2" borderId="1" xfId="2" quotePrefix="1" applyNumberFormat="1" applyFont="1" applyFill="1" applyBorder="1" applyAlignment="1">
      <alignment horizontal="right"/>
    </xf>
    <xf numFmtId="165" fontId="18" fillId="2" borderId="17" xfId="2" quotePrefix="1" applyNumberFormat="1" applyFont="1" applyFill="1" applyBorder="1" applyAlignment="1">
      <alignment horizontal="right"/>
    </xf>
    <xf numFmtId="165" fontId="18" fillId="2" borderId="11" xfId="2" applyNumberFormat="1" applyFont="1" applyFill="1" applyBorder="1" applyAlignment="1">
      <alignment horizontal="right"/>
    </xf>
    <xf numFmtId="37" fontId="18" fillId="2" borderId="21" xfId="4" applyNumberFormat="1" applyFont="1" applyFill="1" applyBorder="1"/>
    <xf numFmtId="164" fontId="18" fillId="2" borderId="17" xfId="2" applyNumberFormat="1" applyFont="1" applyFill="1" applyBorder="1"/>
    <xf numFmtId="164" fontId="18" fillId="0" borderId="32" xfId="2" applyNumberFormat="1" applyFont="1" applyFill="1" applyBorder="1" applyAlignment="1">
      <alignment horizontal="left"/>
    </xf>
    <xf numFmtId="166" fontId="4" fillId="0" borderId="1" xfId="1" applyNumberFormat="1" applyFont="1" applyBorder="1" applyAlignment="1">
      <alignment wrapTex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4" fillId="0" borderId="0" xfId="0" applyFont="1" applyAlignment="1">
      <alignment wrapText="1"/>
    </xf>
    <xf numFmtId="0" fontId="24" fillId="0" borderId="0" xfId="0" applyFont="1" applyAlignment="1"/>
    <xf numFmtId="3" fontId="23" fillId="0" borderId="0" xfId="0" applyNumberFormat="1" applyFont="1"/>
    <xf numFmtId="3" fontId="24" fillId="0" borderId="0" xfId="0" applyNumberFormat="1" applyFont="1" applyAlignment="1">
      <alignment wrapText="1"/>
    </xf>
    <xf numFmtId="3" fontId="24" fillId="0" borderId="0" xfId="0" applyNumberFormat="1" applyFont="1" applyAlignment="1"/>
    <xf numFmtId="3" fontId="2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17" fillId="0" borderId="3" xfId="3" applyNumberFormat="1" applyFont="1" applyFill="1" applyBorder="1" applyAlignment="1">
      <alignment horizontal="center" vertical="center"/>
    </xf>
    <xf numFmtId="1" fontId="17" fillId="0" borderId="4" xfId="3" applyNumberFormat="1" applyFont="1" applyFill="1" applyBorder="1" applyAlignment="1">
      <alignment horizontal="center" vertical="center"/>
    </xf>
    <xf numFmtId="1" fontId="17" fillId="0" borderId="26" xfId="3" applyNumberFormat="1" applyFont="1" applyFill="1" applyBorder="1" applyAlignment="1">
      <alignment horizontal="center" vertical="center"/>
    </xf>
    <xf numFmtId="1" fontId="17" fillId="0" borderId="23" xfId="3" applyNumberFormat="1" applyFont="1" applyFill="1" applyBorder="1" applyAlignment="1">
      <alignment horizontal="center" wrapText="1"/>
    </xf>
    <xf numFmtId="1" fontId="17" fillId="0" borderId="2" xfId="3" applyNumberFormat="1" applyFont="1" applyFill="1" applyBorder="1" applyAlignment="1">
      <alignment horizontal="center" wrapText="1"/>
    </xf>
    <xf numFmtId="1" fontId="17" fillId="0" borderId="24" xfId="3" applyNumberFormat="1" applyFont="1" applyFill="1" applyBorder="1" applyAlignment="1">
      <alignment horizontal="center" wrapText="1"/>
    </xf>
    <xf numFmtId="1" fontId="17" fillId="0" borderId="25" xfId="3" applyNumberFormat="1" applyFont="1" applyFill="1" applyBorder="1" applyAlignment="1">
      <alignment horizontal="center" wrapText="1"/>
    </xf>
    <xf numFmtId="0" fontId="7" fillId="0" borderId="0" xfId="1" applyFont="1" applyAlignment="1">
      <alignment wrapText="1"/>
    </xf>
    <xf numFmtId="0" fontId="18" fillId="0" borderId="0" xfId="4" applyFont="1" applyFill="1" applyBorder="1" applyAlignment="1">
      <alignment vertical="center"/>
    </xf>
    <xf numFmtId="0" fontId="18" fillId="0" borderId="0" xfId="2" quotePrefix="1" applyFont="1" applyFill="1" applyAlignment="1">
      <alignment horizontal="left" wrapText="1"/>
    </xf>
    <xf numFmtId="1" fontId="17" fillId="0" borderId="22" xfId="3" applyNumberFormat="1" applyFont="1" applyFill="1" applyBorder="1" applyAlignment="1">
      <alignment horizontal="center" wrapText="1"/>
    </xf>
    <xf numFmtId="1" fontId="17" fillId="0" borderId="20" xfId="3" applyNumberFormat="1" applyFont="1" applyFill="1" applyBorder="1" applyAlignment="1">
      <alignment horizontal="center" wrapText="1"/>
    </xf>
    <xf numFmtId="1" fontId="17" fillId="0" borderId="28" xfId="3" applyNumberFormat="1" applyFont="1" applyFill="1" applyBorder="1" applyAlignment="1">
      <alignment horizontal="center" wrapText="1"/>
    </xf>
    <xf numFmtId="1" fontId="19" fillId="0" borderId="19" xfId="3" applyNumberFormat="1" applyFont="1" applyFill="1" applyBorder="1" applyAlignment="1">
      <alignment horizontal="center" wrapText="1"/>
    </xf>
    <xf numFmtId="1" fontId="17" fillId="0" borderId="6" xfId="3" applyNumberFormat="1" applyFont="1" applyFill="1" applyBorder="1" applyAlignment="1">
      <alignment horizontal="center" wrapText="1"/>
    </xf>
    <xf numFmtId="1" fontId="17" fillId="0" borderId="7" xfId="3" applyNumberFormat="1" applyFont="1" applyFill="1" applyBorder="1" applyAlignment="1">
      <alignment horizontal="center" wrapText="1"/>
    </xf>
    <xf numFmtId="1" fontId="17" fillId="0" borderId="30" xfId="3" applyNumberFormat="1" applyFont="1" applyFill="1" applyBorder="1" applyAlignment="1">
      <alignment horizontal="center" wrapText="1"/>
    </xf>
    <xf numFmtId="1" fontId="17" fillId="0" borderId="8" xfId="3" applyNumberFormat="1" applyFont="1" applyFill="1" applyBorder="1" applyAlignment="1">
      <alignment horizontal="center" wrapText="1"/>
    </xf>
    <xf numFmtId="1" fontId="17" fillId="0" borderId="9" xfId="3" applyNumberFormat="1" applyFont="1" applyFill="1" applyBorder="1" applyAlignment="1">
      <alignment horizontal="center" wrapText="1"/>
    </xf>
    <xf numFmtId="0" fontId="17" fillId="0" borderId="2" xfId="3" applyFont="1" applyFill="1" applyBorder="1" applyAlignment="1">
      <alignment horizontal="left"/>
    </xf>
    <xf numFmtId="0" fontId="17" fillId="0" borderId="5" xfId="3" applyFont="1" applyFill="1" applyBorder="1" applyAlignment="1">
      <alignment horizontal="left"/>
    </xf>
    <xf numFmtId="1" fontId="17" fillId="0" borderId="27" xfId="3" applyNumberFormat="1" applyFont="1" applyFill="1" applyBorder="1" applyAlignment="1">
      <alignment horizontal="center" wrapText="1"/>
    </xf>
    <xf numFmtId="1" fontId="17" fillId="0" borderId="29" xfId="3" applyNumberFormat="1" applyFont="1" applyFill="1" applyBorder="1" applyAlignment="1">
      <alignment horizontal="center" wrapText="1"/>
    </xf>
    <xf numFmtId="0" fontId="18" fillId="0" borderId="0" xfId="2" quotePrefix="1" applyFont="1" applyFill="1" applyAlignment="1">
      <alignment horizontal="left" vertical="center" wrapText="1"/>
    </xf>
    <xf numFmtId="0" fontId="0" fillId="4" borderId="0" xfId="0" applyFill="1"/>
  </cellXfs>
  <cellStyles count="138">
    <cellStyle name="Followed Hyperlink" xfId="73" builtinId="9" hidden="1"/>
    <cellStyle name="Followed Hyperlink" xfId="77" builtinId="9" hidden="1"/>
    <cellStyle name="Followed Hyperlink" xfId="81" builtinId="9" hidden="1"/>
    <cellStyle name="Followed Hyperlink" xfId="85" builtinId="9" hidden="1"/>
    <cellStyle name="Followed Hyperlink" xfId="89" builtinId="9" hidden="1"/>
    <cellStyle name="Followed Hyperlink" xfId="93" builtinId="9" hidden="1"/>
    <cellStyle name="Followed Hyperlink" xfId="97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7" builtinId="9" hidden="1"/>
    <cellStyle name="Followed Hyperlink" xfId="135" builtinId="9" hidden="1"/>
    <cellStyle name="Followed Hyperlink" xfId="133" builtinId="9" hidden="1"/>
    <cellStyle name="Followed Hyperlink" xfId="131" builtinId="9" hidden="1"/>
    <cellStyle name="Followed Hyperlink" xfId="129" builtinId="9" hidden="1"/>
    <cellStyle name="Followed Hyperlink" xfId="127" builtinId="9" hidden="1"/>
    <cellStyle name="Followed Hyperlink" xfId="125" builtinId="9" hidden="1"/>
    <cellStyle name="Followed Hyperlink" xfId="123" builtinId="9" hidden="1"/>
    <cellStyle name="Followed Hyperlink" xfId="121" builtinId="9" hidden="1"/>
    <cellStyle name="Followed Hyperlink" xfId="119" builtinId="9" hidden="1"/>
    <cellStyle name="Followed Hyperlink" xfId="117" builtinId="9" hidden="1"/>
    <cellStyle name="Followed Hyperlink" xfId="115" builtinId="9" hidden="1"/>
    <cellStyle name="Followed Hyperlink" xfId="113" builtinId="9" hidden="1"/>
    <cellStyle name="Followed Hyperlink" xfId="111" builtinId="9" hidden="1"/>
    <cellStyle name="Followed Hyperlink" xfId="109" builtinId="9" hidden="1"/>
    <cellStyle name="Followed Hyperlink" xfId="107" builtinId="9" hidden="1"/>
    <cellStyle name="Followed Hyperlink" xfId="105" builtinId="9" hidden="1"/>
    <cellStyle name="Followed Hyperlink" xfId="103" builtinId="9" hidden="1"/>
    <cellStyle name="Followed Hyperlink" xfId="101" builtinId="9" hidden="1"/>
    <cellStyle name="Followed Hyperlink" xfId="99" builtinId="9" hidden="1"/>
    <cellStyle name="Followed Hyperlink" xfId="95" builtinId="9" hidden="1"/>
    <cellStyle name="Followed Hyperlink" xfId="91" builtinId="9" hidden="1"/>
    <cellStyle name="Followed Hyperlink" xfId="87" builtinId="9" hidden="1"/>
    <cellStyle name="Followed Hyperlink" xfId="83" builtinId="9" hidden="1"/>
    <cellStyle name="Followed Hyperlink" xfId="79" builtinId="9" hidden="1"/>
    <cellStyle name="Followed Hyperlink" xfId="75" builtinId="9" hidden="1"/>
    <cellStyle name="Followed Hyperlink" xfId="71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9" builtinId="9" hidden="1"/>
    <cellStyle name="Followed Hyperlink" xfId="67" builtinId="9" hidden="1"/>
    <cellStyle name="Followed Hyperlink" xfId="59" builtinId="9" hidden="1"/>
    <cellStyle name="Followed Hyperlink" xfId="51" builtinId="9" hidden="1"/>
    <cellStyle name="Followed Hyperlink" xfId="43" builtinId="9" hidden="1"/>
    <cellStyle name="Followed Hyperlink" xfId="35" builtinId="9" hidden="1"/>
    <cellStyle name="Followed Hyperlink" xfId="27" builtinId="9" hidden="1"/>
    <cellStyle name="Followed Hyperlink" xfId="14" builtinId="9" hidden="1"/>
    <cellStyle name="Followed Hyperlink" xfId="16" builtinId="9" hidden="1"/>
    <cellStyle name="Followed Hyperlink" xfId="20" builtinId="9" hidden="1"/>
    <cellStyle name="Followed Hyperlink" xfId="22" builtinId="9" hidden="1"/>
    <cellStyle name="Followed Hyperlink" xfId="25" builtinId="9" hidden="1"/>
    <cellStyle name="Followed Hyperlink" xfId="18" builtinId="9" hidden="1"/>
    <cellStyle name="Followed Hyperlink" xfId="10" builtinId="9" hidden="1"/>
    <cellStyle name="Followed Hyperlink" xfId="12" builtinId="9" hidden="1"/>
    <cellStyle name="Followed Hyperlink" xfId="8" builtinId="9" hidden="1"/>
    <cellStyle name="Followed Hyperlink" xfId="6" builtinId="9" hidden="1"/>
    <cellStyle name="Hyperlink" xfId="88" builtinId="8" hidden="1"/>
    <cellStyle name="Hyperlink" xfId="90" builtinId="8" hidden="1"/>
    <cellStyle name="Hyperlink" xfId="94" builtinId="8" hidden="1"/>
    <cellStyle name="Hyperlink" xfId="96" builtinId="8" hidden="1"/>
    <cellStyle name="Hyperlink" xfId="98" builtinId="8" hidden="1"/>
    <cellStyle name="Hyperlink" xfId="92" builtinId="8" hidden="1"/>
    <cellStyle name="Hyperlink" xfId="40" builtinId="8" hidden="1"/>
    <cellStyle name="Hyperlink" xfId="42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76" builtinId="8" hidden="1"/>
    <cellStyle name="Hyperlink" xfId="60" builtinId="8" hidden="1"/>
    <cellStyle name="Hyperlink" xfId="44" builtinId="8" hidden="1"/>
    <cellStyle name="Hyperlink" xfId="21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11" builtinId="8" hidden="1"/>
    <cellStyle name="Hyperlink" xfId="7" builtinId="8" hidden="1"/>
    <cellStyle name="Hyperlink" xfId="9" builtinId="8" hidden="1"/>
    <cellStyle name="Hyperlink" xfId="5" builtinId="8" hidden="1"/>
    <cellStyle name="Normal" xfId="0" builtinId="0"/>
    <cellStyle name="Normal 2 2" xfId="4" xr:uid="{00000000-0005-0000-0000-000085000000}"/>
    <cellStyle name="Normal 3" xfId="2" xr:uid="{00000000-0005-0000-0000-000086000000}"/>
    <cellStyle name="Normal 6" xfId="3" xr:uid="{00000000-0005-0000-0000-000087000000}"/>
    <cellStyle name="Normal 9" xfId="1" xr:uid="{00000000-0005-0000-0000-000088000000}"/>
    <cellStyle name="Normal 9 2" xfId="23" xr:uid="{00000000-0005-0000-0000-000089000000}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[Harassment-Bullying-on-basis-of-disability_discplined.xlsx]Pivot 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262478403320388E-2"/>
          <c:y val="0.10596962204168138"/>
          <c:w val="0.54298191447937638"/>
          <c:h val="0.532621917250439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Average of American Indian or Alaska Native%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Table'!$A$2:$A$53</c:f>
              <c:strCache>
                <c:ptCount val="52"/>
                <c:pt idx="0">
                  <c:v>50 states, District of Columbia, and Puerto Rico</c:v>
                </c:pt>
                <c:pt idx="1">
                  <c:v>Alabama</c:v>
                </c:pt>
                <c:pt idx="2">
                  <c:v>Alaska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District of Columbia</c:v>
                </c:pt>
                <c:pt idx="10">
                  <c:v>Florida</c:v>
                </c:pt>
                <c:pt idx="11">
                  <c:v>Georgia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Maryland</c:v>
                </c:pt>
                <c:pt idx="22">
                  <c:v>Massachusetts</c:v>
                </c:pt>
                <c:pt idx="23">
                  <c:v>Michigan</c:v>
                </c:pt>
                <c:pt idx="24">
                  <c:v>Minnesota</c:v>
                </c:pt>
                <c:pt idx="25">
                  <c:v>Mississippi</c:v>
                </c:pt>
                <c:pt idx="26">
                  <c:v>Missouri</c:v>
                </c:pt>
                <c:pt idx="27">
                  <c:v>Montana</c:v>
                </c:pt>
                <c:pt idx="28">
                  <c:v>Nebraska</c:v>
                </c:pt>
                <c:pt idx="29">
                  <c:v>Nevada</c:v>
                </c:pt>
                <c:pt idx="30">
                  <c:v>New Hampshire</c:v>
                </c:pt>
                <c:pt idx="31">
                  <c:v>New Jersey</c:v>
                </c:pt>
                <c:pt idx="32">
                  <c:v>New Mexico</c:v>
                </c:pt>
                <c:pt idx="33">
                  <c:v>New York</c:v>
                </c:pt>
                <c:pt idx="34">
                  <c:v>North Carolina</c:v>
                </c:pt>
                <c:pt idx="35">
                  <c:v>North Dakota</c:v>
                </c:pt>
                <c:pt idx="36">
                  <c:v>Ohio</c:v>
                </c:pt>
                <c:pt idx="37">
                  <c:v>Oklahoma</c:v>
                </c:pt>
                <c:pt idx="38">
                  <c:v>Oregon</c:v>
                </c:pt>
                <c:pt idx="39">
                  <c:v>Pennsylvania</c:v>
                </c:pt>
                <c:pt idx="40">
                  <c:v>Rhode Island</c:v>
                </c:pt>
                <c:pt idx="41">
                  <c:v>South Carolina</c:v>
                </c:pt>
                <c:pt idx="42">
                  <c:v>South Dakota</c:v>
                </c:pt>
                <c:pt idx="43">
                  <c:v>Tennessee</c:v>
                </c:pt>
                <c:pt idx="44">
                  <c:v>Texas</c:v>
                </c:pt>
                <c:pt idx="45">
                  <c:v>Utah</c:v>
                </c:pt>
                <c:pt idx="46">
                  <c:v>Vermont</c:v>
                </c:pt>
                <c:pt idx="47">
                  <c:v>Virginia</c:v>
                </c:pt>
                <c:pt idx="48">
                  <c:v>Washington</c:v>
                </c:pt>
                <c:pt idx="49">
                  <c:v>West Virginia</c:v>
                </c:pt>
                <c:pt idx="50">
                  <c:v>Wisconsin</c:v>
                </c:pt>
                <c:pt idx="51">
                  <c:v>Wyoming</c:v>
                </c:pt>
              </c:strCache>
            </c:strRef>
          </c:cat>
          <c:val>
            <c:numRef>
              <c:f>'Pivot Table'!$B$2:$B$53</c:f>
              <c:numCache>
                <c:formatCode>General</c:formatCode>
                <c:ptCount val="52"/>
                <c:pt idx="0">
                  <c:v>1.7</c:v>
                </c:pt>
                <c:pt idx="1">
                  <c:v>0</c:v>
                </c:pt>
                <c:pt idx="2">
                  <c:v>36.799999999999997</c:v>
                </c:pt>
                <c:pt idx="3">
                  <c:v>6.5</c:v>
                </c:pt>
                <c:pt idx="4">
                  <c:v>0</c:v>
                </c:pt>
                <c:pt idx="5">
                  <c:v>1.3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0.9</c:v>
                </c:pt>
                <c:pt idx="18">
                  <c:v>0</c:v>
                </c:pt>
                <c:pt idx="19">
                  <c:v>2.7</c:v>
                </c:pt>
                <c:pt idx="20">
                  <c:v>0</c:v>
                </c:pt>
                <c:pt idx="21">
                  <c:v>0</c:v>
                </c:pt>
                <c:pt idx="22">
                  <c:v>1.3</c:v>
                </c:pt>
                <c:pt idx="23">
                  <c:v>1.1000000000000001</c:v>
                </c:pt>
                <c:pt idx="24">
                  <c:v>8.1</c:v>
                </c:pt>
                <c:pt idx="25">
                  <c:v>0</c:v>
                </c:pt>
                <c:pt idx="26">
                  <c:v>0.2</c:v>
                </c:pt>
                <c:pt idx="27">
                  <c:v>10.6</c:v>
                </c:pt>
                <c:pt idx="28">
                  <c:v>1.2</c:v>
                </c:pt>
                <c:pt idx="29">
                  <c:v>8.3000000000000007</c:v>
                </c:pt>
                <c:pt idx="30">
                  <c:v>1</c:v>
                </c:pt>
                <c:pt idx="31">
                  <c:v>0.1</c:v>
                </c:pt>
                <c:pt idx="32">
                  <c:v>16</c:v>
                </c:pt>
                <c:pt idx="33">
                  <c:v>0.3</c:v>
                </c:pt>
                <c:pt idx="34">
                  <c:v>0</c:v>
                </c:pt>
                <c:pt idx="35">
                  <c:v>15.4</c:v>
                </c:pt>
                <c:pt idx="36">
                  <c:v>0</c:v>
                </c:pt>
                <c:pt idx="37">
                  <c:v>9.9</c:v>
                </c:pt>
                <c:pt idx="38">
                  <c:v>0.6</c:v>
                </c:pt>
                <c:pt idx="39">
                  <c:v>0.3</c:v>
                </c:pt>
                <c:pt idx="40">
                  <c:v>0</c:v>
                </c:pt>
                <c:pt idx="41">
                  <c:v>0</c:v>
                </c:pt>
                <c:pt idx="42">
                  <c:v>9.5</c:v>
                </c:pt>
                <c:pt idx="43">
                  <c:v>0</c:v>
                </c:pt>
                <c:pt idx="44">
                  <c:v>0.6</c:v>
                </c:pt>
                <c:pt idx="45">
                  <c:v>4.5999999999999996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A-48F0-A141-30AB961877A8}"/>
            </c:ext>
          </c:extLst>
        </c:ser>
        <c:ser>
          <c:idx val="1"/>
          <c:order val="1"/>
          <c:tx>
            <c:strRef>
              <c:f>'Pivot Table'!$C$1</c:f>
              <c:strCache>
                <c:ptCount val="1"/>
                <c:pt idx="0">
                  <c:v>Average of Asian%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Table'!$A$2:$A$53</c:f>
              <c:strCache>
                <c:ptCount val="52"/>
                <c:pt idx="0">
                  <c:v>50 states, District of Columbia, and Puerto Rico</c:v>
                </c:pt>
                <c:pt idx="1">
                  <c:v>Alabama</c:v>
                </c:pt>
                <c:pt idx="2">
                  <c:v>Alaska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District of Columbia</c:v>
                </c:pt>
                <c:pt idx="10">
                  <c:v>Florida</c:v>
                </c:pt>
                <c:pt idx="11">
                  <c:v>Georgia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Maryland</c:v>
                </c:pt>
                <c:pt idx="22">
                  <c:v>Massachusetts</c:v>
                </c:pt>
                <c:pt idx="23">
                  <c:v>Michigan</c:v>
                </c:pt>
                <c:pt idx="24">
                  <c:v>Minnesota</c:v>
                </c:pt>
                <c:pt idx="25">
                  <c:v>Mississippi</c:v>
                </c:pt>
                <c:pt idx="26">
                  <c:v>Missouri</c:v>
                </c:pt>
                <c:pt idx="27">
                  <c:v>Montana</c:v>
                </c:pt>
                <c:pt idx="28">
                  <c:v>Nebraska</c:v>
                </c:pt>
                <c:pt idx="29">
                  <c:v>Nevada</c:v>
                </c:pt>
                <c:pt idx="30">
                  <c:v>New Hampshire</c:v>
                </c:pt>
                <c:pt idx="31">
                  <c:v>New Jersey</c:v>
                </c:pt>
                <c:pt idx="32">
                  <c:v>New Mexico</c:v>
                </c:pt>
                <c:pt idx="33">
                  <c:v>New York</c:v>
                </c:pt>
                <c:pt idx="34">
                  <c:v>North Carolina</c:v>
                </c:pt>
                <c:pt idx="35">
                  <c:v>North Dakota</c:v>
                </c:pt>
                <c:pt idx="36">
                  <c:v>Ohio</c:v>
                </c:pt>
                <c:pt idx="37">
                  <c:v>Oklahoma</c:v>
                </c:pt>
                <c:pt idx="38">
                  <c:v>Oregon</c:v>
                </c:pt>
                <c:pt idx="39">
                  <c:v>Pennsylvania</c:v>
                </c:pt>
                <c:pt idx="40">
                  <c:v>Rhode Island</c:v>
                </c:pt>
                <c:pt idx="41">
                  <c:v>South Carolina</c:v>
                </c:pt>
                <c:pt idx="42">
                  <c:v>South Dakota</c:v>
                </c:pt>
                <c:pt idx="43">
                  <c:v>Tennessee</c:v>
                </c:pt>
                <c:pt idx="44">
                  <c:v>Texas</c:v>
                </c:pt>
                <c:pt idx="45">
                  <c:v>Utah</c:v>
                </c:pt>
                <c:pt idx="46">
                  <c:v>Vermont</c:v>
                </c:pt>
                <c:pt idx="47">
                  <c:v>Virginia</c:v>
                </c:pt>
                <c:pt idx="48">
                  <c:v>Washington</c:v>
                </c:pt>
                <c:pt idx="49">
                  <c:v>West Virginia</c:v>
                </c:pt>
                <c:pt idx="50">
                  <c:v>Wisconsin</c:v>
                </c:pt>
                <c:pt idx="51">
                  <c:v>Wyoming</c:v>
                </c:pt>
              </c:strCache>
            </c:strRef>
          </c:cat>
          <c:val>
            <c:numRef>
              <c:f>'Pivot Table'!$C$2:$C$53</c:f>
              <c:numCache>
                <c:formatCode>General</c:formatCode>
                <c:ptCount val="52"/>
                <c:pt idx="0">
                  <c:v>1.5</c:v>
                </c:pt>
                <c:pt idx="1">
                  <c:v>1.9</c:v>
                </c:pt>
                <c:pt idx="2">
                  <c:v>23.7</c:v>
                </c:pt>
                <c:pt idx="3">
                  <c:v>0.6</c:v>
                </c:pt>
                <c:pt idx="4">
                  <c:v>0</c:v>
                </c:pt>
                <c:pt idx="5">
                  <c:v>2.8</c:v>
                </c:pt>
                <c:pt idx="6">
                  <c:v>0</c:v>
                </c:pt>
                <c:pt idx="7">
                  <c:v>2.2999999999999998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  <c:pt idx="11">
                  <c:v>0</c:v>
                </c:pt>
                <c:pt idx="12">
                  <c:v>14.7</c:v>
                </c:pt>
                <c:pt idx="13">
                  <c:v>0</c:v>
                </c:pt>
                <c:pt idx="14">
                  <c:v>2.4</c:v>
                </c:pt>
                <c:pt idx="15">
                  <c:v>0</c:v>
                </c:pt>
                <c:pt idx="16">
                  <c:v>0.8</c:v>
                </c:pt>
                <c:pt idx="17">
                  <c:v>0.9</c:v>
                </c:pt>
                <c:pt idx="18">
                  <c:v>0.7</c:v>
                </c:pt>
                <c:pt idx="19">
                  <c:v>0</c:v>
                </c:pt>
                <c:pt idx="20">
                  <c:v>0</c:v>
                </c:pt>
                <c:pt idx="21">
                  <c:v>1.9</c:v>
                </c:pt>
                <c:pt idx="22">
                  <c:v>1.3</c:v>
                </c:pt>
                <c:pt idx="23">
                  <c:v>1</c:v>
                </c:pt>
                <c:pt idx="24">
                  <c:v>2.6</c:v>
                </c:pt>
                <c:pt idx="25">
                  <c:v>1.4</c:v>
                </c:pt>
                <c:pt idx="26">
                  <c:v>0.4</c:v>
                </c:pt>
                <c:pt idx="27">
                  <c:v>1.3</c:v>
                </c:pt>
                <c:pt idx="28">
                  <c:v>0</c:v>
                </c:pt>
                <c:pt idx="29">
                  <c:v>0</c:v>
                </c:pt>
                <c:pt idx="30">
                  <c:v>1.9</c:v>
                </c:pt>
                <c:pt idx="31">
                  <c:v>3.5</c:v>
                </c:pt>
                <c:pt idx="32">
                  <c:v>0</c:v>
                </c:pt>
                <c:pt idx="33">
                  <c:v>1.9</c:v>
                </c:pt>
                <c:pt idx="34">
                  <c:v>1.7</c:v>
                </c:pt>
                <c:pt idx="35">
                  <c:v>0</c:v>
                </c:pt>
                <c:pt idx="36">
                  <c:v>0</c:v>
                </c:pt>
                <c:pt idx="37">
                  <c:v>2.2999999999999998</c:v>
                </c:pt>
                <c:pt idx="38">
                  <c:v>0.9</c:v>
                </c:pt>
                <c:pt idx="39">
                  <c:v>0.3</c:v>
                </c:pt>
                <c:pt idx="40">
                  <c:v>0</c:v>
                </c:pt>
                <c:pt idx="41">
                  <c:v>0.8</c:v>
                </c:pt>
                <c:pt idx="42">
                  <c:v>0</c:v>
                </c:pt>
                <c:pt idx="43">
                  <c:v>0.8</c:v>
                </c:pt>
                <c:pt idx="44">
                  <c:v>0.9</c:v>
                </c:pt>
                <c:pt idx="45">
                  <c:v>0.3</c:v>
                </c:pt>
                <c:pt idx="46">
                  <c:v>1</c:v>
                </c:pt>
                <c:pt idx="47">
                  <c:v>0</c:v>
                </c:pt>
                <c:pt idx="48">
                  <c:v>1.5</c:v>
                </c:pt>
                <c:pt idx="49">
                  <c:v>0</c:v>
                </c:pt>
                <c:pt idx="50">
                  <c:v>0.3</c:v>
                </c:pt>
                <c:pt idx="5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3A-48F0-A141-30AB961877A8}"/>
            </c:ext>
          </c:extLst>
        </c:ser>
        <c:ser>
          <c:idx val="2"/>
          <c:order val="2"/>
          <c:tx>
            <c:strRef>
              <c:f>'Pivot Table'!$D$1</c:f>
              <c:strCache>
                <c:ptCount val="1"/>
                <c:pt idx="0">
                  <c:v>Average of Hispanic or Latino of any race%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Table'!$A$2:$A$53</c:f>
              <c:strCache>
                <c:ptCount val="52"/>
                <c:pt idx="0">
                  <c:v>50 states, District of Columbia, and Puerto Rico</c:v>
                </c:pt>
                <c:pt idx="1">
                  <c:v>Alabama</c:v>
                </c:pt>
                <c:pt idx="2">
                  <c:v>Alaska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District of Columbia</c:v>
                </c:pt>
                <c:pt idx="10">
                  <c:v>Florida</c:v>
                </c:pt>
                <c:pt idx="11">
                  <c:v>Georgia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Maryland</c:v>
                </c:pt>
                <c:pt idx="22">
                  <c:v>Massachusetts</c:v>
                </c:pt>
                <c:pt idx="23">
                  <c:v>Michigan</c:v>
                </c:pt>
                <c:pt idx="24">
                  <c:v>Minnesota</c:v>
                </c:pt>
                <c:pt idx="25">
                  <c:v>Mississippi</c:v>
                </c:pt>
                <c:pt idx="26">
                  <c:v>Missouri</c:v>
                </c:pt>
                <c:pt idx="27">
                  <c:v>Montana</c:v>
                </c:pt>
                <c:pt idx="28">
                  <c:v>Nebraska</c:v>
                </c:pt>
                <c:pt idx="29">
                  <c:v>Nevada</c:v>
                </c:pt>
                <c:pt idx="30">
                  <c:v>New Hampshire</c:v>
                </c:pt>
                <c:pt idx="31">
                  <c:v>New Jersey</c:v>
                </c:pt>
                <c:pt idx="32">
                  <c:v>New Mexico</c:v>
                </c:pt>
                <c:pt idx="33">
                  <c:v>New York</c:v>
                </c:pt>
                <c:pt idx="34">
                  <c:v>North Carolina</c:v>
                </c:pt>
                <c:pt idx="35">
                  <c:v>North Dakota</c:v>
                </c:pt>
                <c:pt idx="36">
                  <c:v>Ohio</c:v>
                </c:pt>
                <c:pt idx="37">
                  <c:v>Oklahoma</c:v>
                </c:pt>
                <c:pt idx="38">
                  <c:v>Oregon</c:v>
                </c:pt>
                <c:pt idx="39">
                  <c:v>Pennsylvania</c:v>
                </c:pt>
                <c:pt idx="40">
                  <c:v>Rhode Island</c:v>
                </c:pt>
                <c:pt idx="41">
                  <c:v>South Carolina</c:v>
                </c:pt>
                <c:pt idx="42">
                  <c:v>South Dakota</c:v>
                </c:pt>
                <c:pt idx="43">
                  <c:v>Tennessee</c:v>
                </c:pt>
                <c:pt idx="44">
                  <c:v>Texas</c:v>
                </c:pt>
                <c:pt idx="45">
                  <c:v>Utah</c:v>
                </c:pt>
                <c:pt idx="46">
                  <c:v>Vermont</c:v>
                </c:pt>
                <c:pt idx="47">
                  <c:v>Virginia</c:v>
                </c:pt>
                <c:pt idx="48">
                  <c:v>Washington</c:v>
                </c:pt>
                <c:pt idx="49">
                  <c:v>West Virginia</c:v>
                </c:pt>
                <c:pt idx="50">
                  <c:v>Wisconsin</c:v>
                </c:pt>
                <c:pt idx="51">
                  <c:v>Wyoming</c:v>
                </c:pt>
              </c:strCache>
            </c:strRef>
          </c:cat>
          <c:val>
            <c:numRef>
              <c:f>'Pivot Table'!$D$2:$D$53</c:f>
              <c:numCache>
                <c:formatCode>General</c:formatCode>
                <c:ptCount val="52"/>
                <c:pt idx="0">
                  <c:v>21.9</c:v>
                </c:pt>
                <c:pt idx="1">
                  <c:v>2.9</c:v>
                </c:pt>
                <c:pt idx="2">
                  <c:v>31.6</c:v>
                </c:pt>
                <c:pt idx="3">
                  <c:v>38.5</c:v>
                </c:pt>
                <c:pt idx="4">
                  <c:v>6.2</c:v>
                </c:pt>
                <c:pt idx="5">
                  <c:v>52.3</c:v>
                </c:pt>
                <c:pt idx="6">
                  <c:v>28.3</c:v>
                </c:pt>
                <c:pt idx="7">
                  <c:v>31.9</c:v>
                </c:pt>
                <c:pt idx="8">
                  <c:v>0</c:v>
                </c:pt>
                <c:pt idx="9">
                  <c:v>16.7</c:v>
                </c:pt>
                <c:pt idx="10">
                  <c:v>22.2</c:v>
                </c:pt>
                <c:pt idx="11">
                  <c:v>10.7</c:v>
                </c:pt>
                <c:pt idx="12">
                  <c:v>14.7</c:v>
                </c:pt>
                <c:pt idx="13">
                  <c:v>24.4</c:v>
                </c:pt>
                <c:pt idx="14">
                  <c:v>17.399999999999999</c:v>
                </c:pt>
                <c:pt idx="15">
                  <c:v>14.8</c:v>
                </c:pt>
                <c:pt idx="16">
                  <c:v>11.4</c:v>
                </c:pt>
                <c:pt idx="17">
                  <c:v>11.8</c:v>
                </c:pt>
                <c:pt idx="18">
                  <c:v>3.6</c:v>
                </c:pt>
                <c:pt idx="19">
                  <c:v>10.8</c:v>
                </c:pt>
                <c:pt idx="20">
                  <c:v>1.6</c:v>
                </c:pt>
                <c:pt idx="21">
                  <c:v>4.8</c:v>
                </c:pt>
                <c:pt idx="22">
                  <c:v>19.399999999999999</c:v>
                </c:pt>
                <c:pt idx="23">
                  <c:v>6.3</c:v>
                </c:pt>
                <c:pt idx="24">
                  <c:v>10.3</c:v>
                </c:pt>
                <c:pt idx="25">
                  <c:v>0</c:v>
                </c:pt>
                <c:pt idx="26">
                  <c:v>4</c:v>
                </c:pt>
                <c:pt idx="27">
                  <c:v>2.7</c:v>
                </c:pt>
                <c:pt idx="28">
                  <c:v>17.399999999999999</c:v>
                </c:pt>
                <c:pt idx="29">
                  <c:v>37.5</c:v>
                </c:pt>
                <c:pt idx="30">
                  <c:v>1.9</c:v>
                </c:pt>
                <c:pt idx="31">
                  <c:v>21.8</c:v>
                </c:pt>
                <c:pt idx="32">
                  <c:v>52</c:v>
                </c:pt>
                <c:pt idx="33">
                  <c:v>6.7</c:v>
                </c:pt>
                <c:pt idx="34">
                  <c:v>10.3</c:v>
                </c:pt>
                <c:pt idx="35">
                  <c:v>11.5</c:v>
                </c:pt>
                <c:pt idx="36">
                  <c:v>1.9</c:v>
                </c:pt>
                <c:pt idx="37">
                  <c:v>10.5</c:v>
                </c:pt>
                <c:pt idx="38">
                  <c:v>36.4</c:v>
                </c:pt>
                <c:pt idx="39">
                  <c:v>36.200000000000003</c:v>
                </c:pt>
                <c:pt idx="40">
                  <c:v>13.8</c:v>
                </c:pt>
                <c:pt idx="41">
                  <c:v>2.8</c:v>
                </c:pt>
                <c:pt idx="42">
                  <c:v>7.2</c:v>
                </c:pt>
                <c:pt idx="43">
                  <c:v>5.6</c:v>
                </c:pt>
                <c:pt idx="44">
                  <c:v>49.3</c:v>
                </c:pt>
                <c:pt idx="45">
                  <c:v>26.4</c:v>
                </c:pt>
                <c:pt idx="46">
                  <c:v>1</c:v>
                </c:pt>
                <c:pt idx="47">
                  <c:v>13.1</c:v>
                </c:pt>
                <c:pt idx="48">
                  <c:v>21.9</c:v>
                </c:pt>
                <c:pt idx="49">
                  <c:v>0</c:v>
                </c:pt>
                <c:pt idx="50">
                  <c:v>11.7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3A-48F0-A141-30AB961877A8}"/>
            </c:ext>
          </c:extLst>
        </c:ser>
        <c:ser>
          <c:idx val="3"/>
          <c:order val="3"/>
          <c:tx>
            <c:strRef>
              <c:f>'Pivot Table'!$E$1</c:f>
              <c:strCache>
                <c:ptCount val="1"/>
                <c:pt idx="0">
                  <c:v>Average of Black or African American%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Table'!$A$2:$A$53</c:f>
              <c:strCache>
                <c:ptCount val="52"/>
                <c:pt idx="0">
                  <c:v>50 states, District of Columbia, and Puerto Rico</c:v>
                </c:pt>
                <c:pt idx="1">
                  <c:v>Alabama</c:v>
                </c:pt>
                <c:pt idx="2">
                  <c:v>Alaska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District of Columbia</c:v>
                </c:pt>
                <c:pt idx="10">
                  <c:v>Florida</c:v>
                </c:pt>
                <c:pt idx="11">
                  <c:v>Georgia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Maryland</c:v>
                </c:pt>
                <c:pt idx="22">
                  <c:v>Massachusetts</c:v>
                </c:pt>
                <c:pt idx="23">
                  <c:v>Michigan</c:v>
                </c:pt>
                <c:pt idx="24">
                  <c:v>Minnesota</c:v>
                </c:pt>
                <c:pt idx="25">
                  <c:v>Mississippi</c:v>
                </c:pt>
                <c:pt idx="26">
                  <c:v>Missouri</c:v>
                </c:pt>
                <c:pt idx="27">
                  <c:v>Montana</c:v>
                </c:pt>
                <c:pt idx="28">
                  <c:v>Nebraska</c:v>
                </c:pt>
                <c:pt idx="29">
                  <c:v>Nevada</c:v>
                </c:pt>
                <c:pt idx="30">
                  <c:v>New Hampshire</c:v>
                </c:pt>
                <c:pt idx="31">
                  <c:v>New Jersey</c:v>
                </c:pt>
                <c:pt idx="32">
                  <c:v>New Mexico</c:v>
                </c:pt>
                <c:pt idx="33">
                  <c:v>New York</c:v>
                </c:pt>
                <c:pt idx="34">
                  <c:v>North Carolina</c:v>
                </c:pt>
                <c:pt idx="35">
                  <c:v>North Dakota</c:v>
                </c:pt>
                <c:pt idx="36">
                  <c:v>Ohio</c:v>
                </c:pt>
                <c:pt idx="37">
                  <c:v>Oklahoma</c:v>
                </c:pt>
                <c:pt idx="38">
                  <c:v>Oregon</c:v>
                </c:pt>
                <c:pt idx="39">
                  <c:v>Pennsylvania</c:v>
                </c:pt>
                <c:pt idx="40">
                  <c:v>Rhode Island</c:v>
                </c:pt>
                <c:pt idx="41">
                  <c:v>South Carolina</c:v>
                </c:pt>
                <c:pt idx="42">
                  <c:v>South Dakota</c:v>
                </c:pt>
                <c:pt idx="43">
                  <c:v>Tennessee</c:v>
                </c:pt>
                <c:pt idx="44">
                  <c:v>Texas</c:v>
                </c:pt>
                <c:pt idx="45">
                  <c:v>Utah</c:v>
                </c:pt>
                <c:pt idx="46">
                  <c:v>Vermont</c:v>
                </c:pt>
                <c:pt idx="47">
                  <c:v>Virginia</c:v>
                </c:pt>
                <c:pt idx="48">
                  <c:v>Washington</c:v>
                </c:pt>
                <c:pt idx="49">
                  <c:v>West Virginia</c:v>
                </c:pt>
                <c:pt idx="50">
                  <c:v>Wisconsin</c:v>
                </c:pt>
                <c:pt idx="51">
                  <c:v>Wyoming</c:v>
                </c:pt>
              </c:strCache>
            </c:strRef>
          </c:cat>
          <c:val>
            <c:numRef>
              <c:f>'Pivot Table'!$E$2:$E$53</c:f>
              <c:numCache>
                <c:formatCode>General</c:formatCode>
                <c:ptCount val="52"/>
                <c:pt idx="0">
                  <c:v>21.8</c:v>
                </c:pt>
                <c:pt idx="1">
                  <c:v>47.7</c:v>
                </c:pt>
                <c:pt idx="2">
                  <c:v>2.7</c:v>
                </c:pt>
                <c:pt idx="3">
                  <c:v>13.6</c:v>
                </c:pt>
                <c:pt idx="4">
                  <c:v>26.8</c:v>
                </c:pt>
                <c:pt idx="5">
                  <c:v>15.5</c:v>
                </c:pt>
                <c:pt idx="6">
                  <c:v>1.9</c:v>
                </c:pt>
                <c:pt idx="7">
                  <c:v>8</c:v>
                </c:pt>
                <c:pt idx="8">
                  <c:v>14.3</c:v>
                </c:pt>
                <c:pt idx="9">
                  <c:v>66.7</c:v>
                </c:pt>
                <c:pt idx="10">
                  <c:v>37.4</c:v>
                </c:pt>
                <c:pt idx="11">
                  <c:v>57.2</c:v>
                </c:pt>
                <c:pt idx="12">
                  <c:v>0</c:v>
                </c:pt>
                <c:pt idx="13">
                  <c:v>0</c:v>
                </c:pt>
                <c:pt idx="14">
                  <c:v>33.200000000000003</c:v>
                </c:pt>
                <c:pt idx="15">
                  <c:v>37.5</c:v>
                </c:pt>
                <c:pt idx="16">
                  <c:v>9.1999999999999993</c:v>
                </c:pt>
                <c:pt idx="17">
                  <c:v>3.3</c:v>
                </c:pt>
                <c:pt idx="18">
                  <c:v>32.799999999999997</c:v>
                </c:pt>
                <c:pt idx="19">
                  <c:v>59.4</c:v>
                </c:pt>
                <c:pt idx="20">
                  <c:v>6.3</c:v>
                </c:pt>
                <c:pt idx="21">
                  <c:v>38.5</c:v>
                </c:pt>
                <c:pt idx="22">
                  <c:v>19.3</c:v>
                </c:pt>
                <c:pt idx="23">
                  <c:v>15.8</c:v>
                </c:pt>
                <c:pt idx="24">
                  <c:v>27.8</c:v>
                </c:pt>
                <c:pt idx="25">
                  <c:v>54.2</c:v>
                </c:pt>
                <c:pt idx="26">
                  <c:v>38</c:v>
                </c:pt>
                <c:pt idx="27">
                  <c:v>5.3</c:v>
                </c:pt>
                <c:pt idx="28">
                  <c:v>20.5</c:v>
                </c:pt>
                <c:pt idx="29">
                  <c:v>4.2</c:v>
                </c:pt>
                <c:pt idx="30">
                  <c:v>4.7</c:v>
                </c:pt>
                <c:pt idx="31">
                  <c:v>22.6</c:v>
                </c:pt>
                <c:pt idx="32">
                  <c:v>0</c:v>
                </c:pt>
                <c:pt idx="33">
                  <c:v>19.5</c:v>
                </c:pt>
                <c:pt idx="34">
                  <c:v>53.4</c:v>
                </c:pt>
                <c:pt idx="35">
                  <c:v>7.7</c:v>
                </c:pt>
                <c:pt idx="36">
                  <c:v>34.799999999999997</c:v>
                </c:pt>
                <c:pt idx="37">
                  <c:v>21.7</c:v>
                </c:pt>
                <c:pt idx="38">
                  <c:v>3.4</c:v>
                </c:pt>
                <c:pt idx="39">
                  <c:v>20.9</c:v>
                </c:pt>
                <c:pt idx="40">
                  <c:v>10.3</c:v>
                </c:pt>
                <c:pt idx="41">
                  <c:v>76</c:v>
                </c:pt>
                <c:pt idx="42">
                  <c:v>7.2</c:v>
                </c:pt>
                <c:pt idx="43">
                  <c:v>13.7</c:v>
                </c:pt>
                <c:pt idx="44">
                  <c:v>24.6</c:v>
                </c:pt>
                <c:pt idx="45">
                  <c:v>2.4</c:v>
                </c:pt>
                <c:pt idx="46">
                  <c:v>5</c:v>
                </c:pt>
                <c:pt idx="47">
                  <c:v>66.8</c:v>
                </c:pt>
                <c:pt idx="48">
                  <c:v>12.1</c:v>
                </c:pt>
                <c:pt idx="49">
                  <c:v>5.0999999999999996</c:v>
                </c:pt>
                <c:pt idx="50">
                  <c:v>12.2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3A-48F0-A141-30AB961877A8}"/>
            </c:ext>
          </c:extLst>
        </c:ser>
        <c:ser>
          <c:idx val="4"/>
          <c:order val="4"/>
          <c:tx>
            <c:strRef>
              <c:f>'Pivot Table'!$F$1</c:f>
              <c:strCache>
                <c:ptCount val="1"/>
                <c:pt idx="0">
                  <c:v>Average of White%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Table'!$A$2:$A$53</c:f>
              <c:strCache>
                <c:ptCount val="52"/>
                <c:pt idx="0">
                  <c:v>50 states, District of Columbia, and Puerto Rico</c:v>
                </c:pt>
                <c:pt idx="1">
                  <c:v>Alabama</c:v>
                </c:pt>
                <c:pt idx="2">
                  <c:v>Alaska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District of Columbia</c:v>
                </c:pt>
                <c:pt idx="10">
                  <c:v>Florida</c:v>
                </c:pt>
                <c:pt idx="11">
                  <c:v>Georgia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Maryland</c:v>
                </c:pt>
                <c:pt idx="22">
                  <c:v>Massachusetts</c:v>
                </c:pt>
                <c:pt idx="23">
                  <c:v>Michigan</c:v>
                </c:pt>
                <c:pt idx="24">
                  <c:v>Minnesota</c:v>
                </c:pt>
                <c:pt idx="25">
                  <c:v>Mississippi</c:v>
                </c:pt>
                <c:pt idx="26">
                  <c:v>Missouri</c:v>
                </c:pt>
                <c:pt idx="27">
                  <c:v>Montana</c:v>
                </c:pt>
                <c:pt idx="28">
                  <c:v>Nebraska</c:v>
                </c:pt>
                <c:pt idx="29">
                  <c:v>Nevada</c:v>
                </c:pt>
                <c:pt idx="30">
                  <c:v>New Hampshire</c:v>
                </c:pt>
                <c:pt idx="31">
                  <c:v>New Jersey</c:v>
                </c:pt>
                <c:pt idx="32">
                  <c:v>New Mexico</c:v>
                </c:pt>
                <c:pt idx="33">
                  <c:v>New York</c:v>
                </c:pt>
                <c:pt idx="34">
                  <c:v>North Carolina</c:v>
                </c:pt>
                <c:pt idx="35">
                  <c:v>North Dakota</c:v>
                </c:pt>
                <c:pt idx="36">
                  <c:v>Ohio</c:v>
                </c:pt>
                <c:pt idx="37">
                  <c:v>Oklahoma</c:v>
                </c:pt>
                <c:pt idx="38">
                  <c:v>Oregon</c:v>
                </c:pt>
                <c:pt idx="39">
                  <c:v>Pennsylvania</c:v>
                </c:pt>
                <c:pt idx="40">
                  <c:v>Rhode Island</c:v>
                </c:pt>
                <c:pt idx="41">
                  <c:v>South Carolina</c:v>
                </c:pt>
                <c:pt idx="42">
                  <c:v>South Dakota</c:v>
                </c:pt>
                <c:pt idx="43">
                  <c:v>Tennessee</c:v>
                </c:pt>
                <c:pt idx="44">
                  <c:v>Texas</c:v>
                </c:pt>
                <c:pt idx="45">
                  <c:v>Utah</c:v>
                </c:pt>
                <c:pt idx="46">
                  <c:v>Vermont</c:v>
                </c:pt>
                <c:pt idx="47">
                  <c:v>Virginia</c:v>
                </c:pt>
                <c:pt idx="48">
                  <c:v>Washington</c:v>
                </c:pt>
                <c:pt idx="49">
                  <c:v>West Virginia</c:v>
                </c:pt>
                <c:pt idx="50">
                  <c:v>Wisconsin</c:v>
                </c:pt>
                <c:pt idx="51">
                  <c:v>Wyoming</c:v>
                </c:pt>
              </c:strCache>
            </c:strRef>
          </c:cat>
          <c:val>
            <c:numRef>
              <c:f>'Pivot Table'!$F$2:$F$53</c:f>
              <c:numCache>
                <c:formatCode>General</c:formatCode>
                <c:ptCount val="52"/>
                <c:pt idx="0">
                  <c:v>48.7</c:v>
                </c:pt>
                <c:pt idx="1">
                  <c:v>44.8</c:v>
                </c:pt>
                <c:pt idx="2">
                  <c:v>0</c:v>
                </c:pt>
                <c:pt idx="3">
                  <c:v>38.799999999999997</c:v>
                </c:pt>
                <c:pt idx="4">
                  <c:v>62.9</c:v>
                </c:pt>
                <c:pt idx="5">
                  <c:v>23.5</c:v>
                </c:pt>
                <c:pt idx="6">
                  <c:v>66</c:v>
                </c:pt>
                <c:pt idx="7">
                  <c:v>56.9</c:v>
                </c:pt>
                <c:pt idx="8">
                  <c:v>85.7</c:v>
                </c:pt>
                <c:pt idx="9">
                  <c:v>16.7</c:v>
                </c:pt>
                <c:pt idx="10">
                  <c:v>34.5</c:v>
                </c:pt>
                <c:pt idx="11">
                  <c:v>28.3</c:v>
                </c:pt>
                <c:pt idx="12">
                  <c:v>3</c:v>
                </c:pt>
                <c:pt idx="13">
                  <c:v>67</c:v>
                </c:pt>
                <c:pt idx="14">
                  <c:v>42.2</c:v>
                </c:pt>
                <c:pt idx="15">
                  <c:v>43.6</c:v>
                </c:pt>
                <c:pt idx="16">
                  <c:v>76.400000000000006</c:v>
                </c:pt>
                <c:pt idx="17">
                  <c:v>77.3</c:v>
                </c:pt>
                <c:pt idx="18">
                  <c:v>54</c:v>
                </c:pt>
                <c:pt idx="19">
                  <c:v>24.4</c:v>
                </c:pt>
                <c:pt idx="20">
                  <c:v>87.3</c:v>
                </c:pt>
                <c:pt idx="21">
                  <c:v>50</c:v>
                </c:pt>
                <c:pt idx="22">
                  <c:v>55.5</c:v>
                </c:pt>
                <c:pt idx="23">
                  <c:v>71.099999999999994</c:v>
                </c:pt>
                <c:pt idx="24">
                  <c:v>46.9</c:v>
                </c:pt>
                <c:pt idx="25">
                  <c:v>44.4</c:v>
                </c:pt>
                <c:pt idx="26">
                  <c:v>53.7</c:v>
                </c:pt>
                <c:pt idx="27">
                  <c:v>77.400000000000006</c:v>
                </c:pt>
                <c:pt idx="28">
                  <c:v>53.4</c:v>
                </c:pt>
                <c:pt idx="29">
                  <c:v>50</c:v>
                </c:pt>
                <c:pt idx="30">
                  <c:v>86.7</c:v>
                </c:pt>
                <c:pt idx="31">
                  <c:v>49.2</c:v>
                </c:pt>
                <c:pt idx="32">
                  <c:v>32</c:v>
                </c:pt>
                <c:pt idx="33">
                  <c:v>70.099999999999994</c:v>
                </c:pt>
                <c:pt idx="34">
                  <c:v>24.2</c:v>
                </c:pt>
                <c:pt idx="35">
                  <c:v>65.400000000000006</c:v>
                </c:pt>
                <c:pt idx="36">
                  <c:v>59.6</c:v>
                </c:pt>
                <c:pt idx="37">
                  <c:v>48.5</c:v>
                </c:pt>
                <c:pt idx="38">
                  <c:v>50</c:v>
                </c:pt>
                <c:pt idx="39">
                  <c:v>38.799999999999997</c:v>
                </c:pt>
                <c:pt idx="40">
                  <c:v>75.900000000000006</c:v>
                </c:pt>
                <c:pt idx="41">
                  <c:v>19.2</c:v>
                </c:pt>
                <c:pt idx="42">
                  <c:v>71.400000000000006</c:v>
                </c:pt>
                <c:pt idx="43">
                  <c:v>75.8</c:v>
                </c:pt>
                <c:pt idx="44">
                  <c:v>21.3</c:v>
                </c:pt>
                <c:pt idx="45">
                  <c:v>61.1</c:v>
                </c:pt>
                <c:pt idx="46">
                  <c:v>91.2</c:v>
                </c:pt>
                <c:pt idx="47">
                  <c:v>16.899999999999999</c:v>
                </c:pt>
                <c:pt idx="48">
                  <c:v>54.9</c:v>
                </c:pt>
                <c:pt idx="49">
                  <c:v>92.3</c:v>
                </c:pt>
                <c:pt idx="50">
                  <c:v>71.8</c:v>
                </c:pt>
                <c:pt idx="5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3A-48F0-A141-30AB961877A8}"/>
            </c:ext>
          </c:extLst>
        </c:ser>
        <c:ser>
          <c:idx val="5"/>
          <c:order val="5"/>
          <c:tx>
            <c:strRef>
              <c:f>'Pivot Table'!$G$1</c:f>
              <c:strCache>
                <c:ptCount val="1"/>
                <c:pt idx="0">
                  <c:v>Average of Native Hawaiian or Other Pacific Islander%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Table'!$A$2:$A$53</c:f>
              <c:strCache>
                <c:ptCount val="52"/>
                <c:pt idx="0">
                  <c:v>50 states, District of Columbia, and Puerto Rico</c:v>
                </c:pt>
                <c:pt idx="1">
                  <c:v>Alabama</c:v>
                </c:pt>
                <c:pt idx="2">
                  <c:v>Alaska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District of Columbia</c:v>
                </c:pt>
                <c:pt idx="10">
                  <c:v>Florida</c:v>
                </c:pt>
                <c:pt idx="11">
                  <c:v>Georgia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Maryland</c:v>
                </c:pt>
                <c:pt idx="22">
                  <c:v>Massachusetts</c:v>
                </c:pt>
                <c:pt idx="23">
                  <c:v>Michigan</c:v>
                </c:pt>
                <c:pt idx="24">
                  <c:v>Minnesota</c:v>
                </c:pt>
                <c:pt idx="25">
                  <c:v>Mississippi</c:v>
                </c:pt>
                <c:pt idx="26">
                  <c:v>Missouri</c:v>
                </c:pt>
                <c:pt idx="27">
                  <c:v>Montana</c:v>
                </c:pt>
                <c:pt idx="28">
                  <c:v>Nebraska</c:v>
                </c:pt>
                <c:pt idx="29">
                  <c:v>Nevada</c:v>
                </c:pt>
                <c:pt idx="30">
                  <c:v>New Hampshire</c:v>
                </c:pt>
                <c:pt idx="31">
                  <c:v>New Jersey</c:v>
                </c:pt>
                <c:pt idx="32">
                  <c:v>New Mexico</c:v>
                </c:pt>
                <c:pt idx="33">
                  <c:v>New York</c:v>
                </c:pt>
                <c:pt idx="34">
                  <c:v>North Carolina</c:v>
                </c:pt>
                <c:pt idx="35">
                  <c:v>North Dakota</c:v>
                </c:pt>
                <c:pt idx="36">
                  <c:v>Ohio</c:v>
                </c:pt>
                <c:pt idx="37">
                  <c:v>Oklahoma</c:v>
                </c:pt>
                <c:pt idx="38">
                  <c:v>Oregon</c:v>
                </c:pt>
                <c:pt idx="39">
                  <c:v>Pennsylvania</c:v>
                </c:pt>
                <c:pt idx="40">
                  <c:v>Rhode Island</c:v>
                </c:pt>
                <c:pt idx="41">
                  <c:v>South Carolina</c:v>
                </c:pt>
                <c:pt idx="42">
                  <c:v>South Dakota</c:v>
                </c:pt>
                <c:pt idx="43">
                  <c:v>Tennessee</c:v>
                </c:pt>
                <c:pt idx="44">
                  <c:v>Texas</c:v>
                </c:pt>
                <c:pt idx="45">
                  <c:v>Utah</c:v>
                </c:pt>
                <c:pt idx="46">
                  <c:v>Vermont</c:v>
                </c:pt>
                <c:pt idx="47">
                  <c:v>Virginia</c:v>
                </c:pt>
                <c:pt idx="48">
                  <c:v>Washington</c:v>
                </c:pt>
                <c:pt idx="49">
                  <c:v>West Virginia</c:v>
                </c:pt>
                <c:pt idx="50">
                  <c:v>Wisconsin</c:v>
                </c:pt>
                <c:pt idx="51">
                  <c:v>Wyoming</c:v>
                </c:pt>
              </c:strCache>
            </c:strRef>
          </c:cat>
          <c:val>
            <c:numRef>
              <c:f>'Pivot Table'!$G$2:$G$53</c:f>
              <c:numCache>
                <c:formatCode>General</c:formatCode>
                <c:ptCount val="52"/>
                <c:pt idx="0">
                  <c:v>0.6</c:v>
                </c:pt>
                <c:pt idx="1">
                  <c:v>0</c:v>
                </c:pt>
                <c:pt idx="2">
                  <c:v>5.3</c:v>
                </c:pt>
                <c:pt idx="3">
                  <c:v>0.3</c:v>
                </c:pt>
                <c:pt idx="4">
                  <c:v>0</c:v>
                </c:pt>
                <c:pt idx="5">
                  <c:v>0.6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55.9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</c:v>
                </c:pt>
                <c:pt idx="24">
                  <c:v>0</c:v>
                </c:pt>
                <c:pt idx="25">
                  <c:v>0</c:v>
                </c:pt>
                <c:pt idx="26">
                  <c:v>0.2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2.7</c:v>
                </c:pt>
                <c:pt idx="39">
                  <c:v>0.2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2.2000000000000002</c:v>
                </c:pt>
                <c:pt idx="46">
                  <c:v>0</c:v>
                </c:pt>
                <c:pt idx="47">
                  <c:v>0</c:v>
                </c:pt>
                <c:pt idx="48">
                  <c:v>1.2</c:v>
                </c:pt>
                <c:pt idx="49">
                  <c:v>0</c:v>
                </c:pt>
                <c:pt idx="50">
                  <c:v>0.3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3A-48F0-A141-30AB961877A8}"/>
            </c:ext>
          </c:extLst>
        </c:ser>
        <c:ser>
          <c:idx val="6"/>
          <c:order val="6"/>
          <c:tx>
            <c:strRef>
              <c:f>'Pivot Table'!$H$1</c:f>
              <c:strCache>
                <c:ptCount val="1"/>
                <c:pt idx="0">
                  <c:v>Average of Two or More Races%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Table'!$A$2:$A$53</c:f>
              <c:strCache>
                <c:ptCount val="52"/>
                <c:pt idx="0">
                  <c:v>50 states, District of Columbia, and Puerto Rico</c:v>
                </c:pt>
                <c:pt idx="1">
                  <c:v>Alabama</c:v>
                </c:pt>
                <c:pt idx="2">
                  <c:v>Alaska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District of Columbia</c:v>
                </c:pt>
                <c:pt idx="10">
                  <c:v>Florida</c:v>
                </c:pt>
                <c:pt idx="11">
                  <c:v>Georgia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Maryland</c:v>
                </c:pt>
                <c:pt idx="22">
                  <c:v>Massachusetts</c:v>
                </c:pt>
                <c:pt idx="23">
                  <c:v>Michigan</c:v>
                </c:pt>
                <c:pt idx="24">
                  <c:v>Minnesota</c:v>
                </c:pt>
                <c:pt idx="25">
                  <c:v>Mississippi</c:v>
                </c:pt>
                <c:pt idx="26">
                  <c:v>Missouri</c:v>
                </c:pt>
                <c:pt idx="27">
                  <c:v>Montana</c:v>
                </c:pt>
                <c:pt idx="28">
                  <c:v>Nebraska</c:v>
                </c:pt>
                <c:pt idx="29">
                  <c:v>Nevada</c:v>
                </c:pt>
                <c:pt idx="30">
                  <c:v>New Hampshire</c:v>
                </c:pt>
                <c:pt idx="31">
                  <c:v>New Jersey</c:v>
                </c:pt>
                <c:pt idx="32">
                  <c:v>New Mexico</c:v>
                </c:pt>
                <c:pt idx="33">
                  <c:v>New York</c:v>
                </c:pt>
                <c:pt idx="34">
                  <c:v>North Carolina</c:v>
                </c:pt>
                <c:pt idx="35">
                  <c:v>North Dakota</c:v>
                </c:pt>
                <c:pt idx="36">
                  <c:v>Ohio</c:v>
                </c:pt>
                <c:pt idx="37">
                  <c:v>Oklahoma</c:v>
                </c:pt>
                <c:pt idx="38">
                  <c:v>Oregon</c:v>
                </c:pt>
                <c:pt idx="39">
                  <c:v>Pennsylvania</c:v>
                </c:pt>
                <c:pt idx="40">
                  <c:v>Rhode Island</c:v>
                </c:pt>
                <c:pt idx="41">
                  <c:v>South Carolina</c:v>
                </c:pt>
                <c:pt idx="42">
                  <c:v>South Dakota</c:v>
                </c:pt>
                <c:pt idx="43">
                  <c:v>Tennessee</c:v>
                </c:pt>
                <c:pt idx="44">
                  <c:v>Texas</c:v>
                </c:pt>
                <c:pt idx="45">
                  <c:v>Utah</c:v>
                </c:pt>
                <c:pt idx="46">
                  <c:v>Vermont</c:v>
                </c:pt>
                <c:pt idx="47">
                  <c:v>Virginia</c:v>
                </c:pt>
                <c:pt idx="48">
                  <c:v>Washington</c:v>
                </c:pt>
                <c:pt idx="49">
                  <c:v>West Virginia</c:v>
                </c:pt>
                <c:pt idx="50">
                  <c:v>Wisconsin</c:v>
                </c:pt>
                <c:pt idx="51">
                  <c:v>Wyoming</c:v>
                </c:pt>
              </c:strCache>
            </c:strRef>
          </c:cat>
          <c:val>
            <c:numRef>
              <c:f>'Pivot Table'!$H$2:$H$53</c:f>
              <c:numCache>
                <c:formatCode>General</c:formatCode>
                <c:ptCount val="52"/>
                <c:pt idx="0">
                  <c:v>3.9</c:v>
                </c:pt>
                <c:pt idx="1">
                  <c:v>2.9</c:v>
                </c:pt>
                <c:pt idx="2">
                  <c:v>0</c:v>
                </c:pt>
                <c:pt idx="3">
                  <c:v>1.9</c:v>
                </c:pt>
                <c:pt idx="4">
                  <c:v>4.0999999999999996</c:v>
                </c:pt>
                <c:pt idx="5">
                  <c:v>4.2</c:v>
                </c:pt>
                <c:pt idx="6">
                  <c:v>3.8</c:v>
                </c:pt>
                <c:pt idx="7">
                  <c:v>1.1000000000000001</c:v>
                </c:pt>
                <c:pt idx="8">
                  <c:v>0</c:v>
                </c:pt>
                <c:pt idx="9">
                  <c:v>0</c:v>
                </c:pt>
                <c:pt idx="10">
                  <c:v>5.4</c:v>
                </c:pt>
                <c:pt idx="11">
                  <c:v>3.8</c:v>
                </c:pt>
                <c:pt idx="12">
                  <c:v>11.8</c:v>
                </c:pt>
                <c:pt idx="13">
                  <c:v>0</c:v>
                </c:pt>
                <c:pt idx="14">
                  <c:v>4.9000000000000004</c:v>
                </c:pt>
                <c:pt idx="15">
                  <c:v>3.9</c:v>
                </c:pt>
                <c:pt idx="16">
                  <c:v>1.6</c:v>
                </c:pt>
                <c:pt idx="17">
                  <c:v>5.9</c:v>
                </c:pt>
                <c:pt idx="18">
                  <c:v>8.8000000000000007</c:v>
                </c:pt>
                <c:pt idx="19">
                  <c:v>2.7</c:v>
                </c:pt>
                <c:pt idx="20">
                  <c:v>4.7</c:v>
                </c:pt>
                <c:pt idx="21">
                  <c:v>4.8</c:v>
                </c:pt>
                <c:pt idx="22">
                  <c:v>3.2</c:v>
                </c:pt>
                <c:pt idx="23">
                  <c:v>4.7</c:v>
                </c:pt>
                <c:pt idx="24">
                  <c:v>4.4000000000000004</c:v>
                </c:pt>
                <c:pt idx="25">
                  <c:v>0</c:v>
                </c:pt>
                <c:pt idx="26">
                  <c:v>3.4</c:v>
                </c:pt>
                <c:pt idx="27">
                  <c:v>2.7</c:v>
                </c:pt>
                <c:pt idx="28">
                  <c:v>7.4</c:v>
                </c:pt>
                <c:pt idx="29">
                  <c:v>0</c:v>
                </c:pt>
                <c:pt idx="30">
                  <c:v>2.9</c:v>
                </c:pt>
                <c:pt idx="31">
                  <c:v>2.9</c:v>
                </c:pt>
                <c:pt idx="32">
                  <c:v>0</c:v>
                </c:pt>
                <c:pt idx="33">
                  <c:v>1.5</c:v>
                </c:pt>
                <c:pt idx="34">
                  <c:v>10.3</c:v>
                </c:pt>
                <c:pt idx="35">
                  <c:v>0</c:v>
                </c:pt>
                <c:pt idx="36">
                  <c:v>3.7</c:v>
                </c:pt>
                <c:pt idx="37">
                  <c:v>7</c:v>
                </c:pt>
                <c:pt idx="38">
                  <c:v>5.9</c:v>
                </c:pt>
                <c:pt idx="39">
                  <c:v>3.3</c:v>
                </c:pt>
                <c:pt idx="40">
                  <c:v>0</c:v>
                </c:pt>
                <c:pt idx="41">
                  <c:v>1.2</c:v>
                </c:pt>
                <c:pt idx="42">
                  <c:v>4.7</c:v>
                </c:pt>
                <c:pt idx="43">
                  <c:v>4.0999999999999996</c:v>
                </c:pt>
                <c:pt idx="44">
                  <c:v>3.4</c:v>
                </c:pt>
                <c:pt idx="45">
                  <c:v>3.1</c:v>
                </c:pt>
                <c:pt idx="46">
                  <c:v>1.9</c:v>
                </c:pt>
                <c:pt idx="47">
                  <c:v>3.1</c:v>
                </c:pt>
                <c:pt idx="48">
                  <c:v>6.4</c:v>
                </c:pt>
                <c:pt idx="49">
                  <c:v>2.5</c:v>
                </c:pt>
                <c:pt idx="50">
                  <c:v>2.9</c:v>
                </c:pt>
                <c:pt idx="5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3A-48F0-A141-30AB961877A8}"/>
            </c:ext>
          </c:extLst>
        </c:ser>
        <c:ser>
          <c:idx val="7"/>
          <c:order val="7"/>
          <c:tx>
            <c:strRef>
              <c:f>'Pivot Table'!$I$1</c:f>
              <c:strCache>
                <c:ptCount val="1"/>
                <c:pt idx="0">
                  <c:v>Average of Students With Disabilities Served under IDEA%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Table'!$A$2:$A$53</c:f>
              <c:strCache>
                <c:ptCount val="52"/>
                <c:pt idx="0">
                  <c:v>50 states, District of Columbia, and Puerto Rico</c:v>
                </c:pt>
                <c:pt idx="1">
                  <c:v>Alabama</c:v>
                </c:pt>
                <c:pt idx="2">
                  <c:v>Alaska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District of Columbia</c:v>
                </c:pt>
                <c:pt idx="10">
                  <c:v>Florida</c:v>
                </c:pt>
                <c:pt idx="11">
                  <c:v>Georgia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Maryland</c:v>
                </c:pt>
                <c:pt idx="22">
                  <c:v>Massachusetts</c:v>
                </c:pt>
                <c:pt idx="23">
                  <c:v>Michigan</c:v>
                </c:pt>
                <c:pt idx="24">
                  <c:v>Minnesota</c:v>
                </c:pt>
                <c:pt idx="25">
                  <c:v>Mississippi</c:v>
                </c:pt>
                <c:pt idx="26">
                  <c:v>Missouri</c:v>
                </c:pt>
                <c:pt idx="27">
                  <c:v>Montana</c:v>
                </c:pt>
                <c:pt idx="28">
                  <c:v>Nebraska</c:v>
                </c:pt>
                <c:pt idx="29">
                  <c:v>Nevada</c:v>
                </c:pt>
                <c:pt idx="30">
                  <c:v>New Hampshire</c:v>
                </c:pt>
                <c:pt idx="31">
                  <c:v>New Jersey</c:v>
                </c:pt>
                <c:pt idx="32">
                  <c:v>New Mexico</c:v>
                </c:pt>
                <c:pt idx="33">
                  <c:v>New York</c:v>
                </c:pt>
                <c:pt idx="34">
                  <c:v>North Carolina</c:v>
                </c:pt>
                <c:pt idx="35">
                  <c:v>North Dakota</c:v>
                </c:pt>
                <c:pt idx="36">
                  <c:v>Ohio</c:v>
                </c:pt>
                <c:pt idx="37">
                  <c:v>Oklahoma</c:v>
                </c:pt>
                <c:pt idx="38">
                  <c:v>Oregon</c:v>
                </c:pt>
                <c:pt idx="39">
                  <c:v>Pennsylvania</c:v>
                </c:pt>
                <c:pt idx="40">
                  <c:v>Rhode Island</c:v>
                </c:pt>
                <c:pt idx="41">
                  <c:v>South Carolina</c:v>
                </c:pt>
                <c:pt idx="42">
                  <c:v>South Dakota</c:v>
                </c:pt>
                <c:pt idx="43">
                  <c:v>Tennessee</c:v>
                </c:pt>
                <c:pt idx="44">
                  <c:v>Texas</c:v>
                </c:pt>
                <c:pt idx="45">
                  <c:v>Utah</c:v>
                </c:pt>
                <c:pt idx="46">
                  <c:v>Vermont</c:v>
                </c:pt>
                <c:pt idx="47">
                  <c:v>Virginia</c:v>
                </c:pt>
                <c:pt idx="48">
                  <c:v>Washington</c:v>
                </c:pt>
                <c:pt idx="49">
                  <c:v>West Virginia</c:v>
                </c:pt>
                <c:pt idx="50">
                  <c:v>Wisconsin</c:v>
                </c:pt>
                <c:pt idx="51">
                  <c:v>Wyoming</c:v>
                </c:pt>
              </c:strCache>
            </c:strRef>
          </c:cat>
          <c:val>
            <c:numRef>
              <c:f>'Pivot Table'!$I$2:$I$53</c:f>
              <c:numCache>
                <c:formatCode>General</c:formatCode>
                <c:ptCount val="52"/>
                <c:pt idx="0">
                  <c:v>24</c:v>
                </c:pt>
                <c:pt idx="1">
                  <c:v>17.2</c:v>
                </c:pt>
                <c:pt idx="2">
                  <c:v>5.3</c:v>
                </c:pt>
                <c:pt idx="3">
                  <c:v>16.600000000000001</c:v>
                </c:pt>
                <c:pt idx="4">
                  <c:v>24.7</c:v>
                </c:pt>
                <c:pt idx="5">
                  <c:v>18.100000000000001</c:v>
                </c:pt>
                <c:pt idx="6">
                  <c:v>17</c:v>
                </c:pt>
                <c:pt idx="7">
                  <c:v>31.8</c:v>
                </c:pt>
                <c:pt idx="8">
                  <c:v>28.5</c:v>
                </c:pt>
                <c:pt idx="9">
                  <c:v>0</c:v>
                </c:pt>
                <c:pt idx="10">
                  <c:v>37.4</c:v>
                </c:pt>
                <c:pt idx="11">
                  <c:v>25.1</c:v>
                </c:pt>
                <c:pt idx="12">
                  <c:v>67.599999999999994</c:v>
                </c:pt>
                <c:pt idx="13">
                  <c:v>15.9</c:v>
                </c:pt>
                <c:pt idx="14">
                  <c:v>19.100000000000001</c:v>
                </c:pt>
                <c:pt idx="15">
                  <c:v>12.6</c:v>
                </c:pt>
                <c:pt idx="16">
                  <c:v>25.9</c:v>
                </c:pt>
                <c:pt idx="17">
                  <c:v>27.8</c:v>
                </c:pt>
                <c:pt idx="18">
                  <c:v>13.2</c:v>
                </c:pt>
                <c:pt idx="19">
                  <c:v>27.1</c:v>
                </c:pt>
                <c:pt idx="20">
                  <c:v>30.1</c:v>
                </c:pt>
                <c:pt idx="21">
                  <c:v>16.3</c:v>
                </c:pt>
                <c:pt idx="22">
                  <c:v>28.4</c:v>
                </c:pt>
                <c:pt idx="23">
                  <c:v>21.2</c:v>
                </c:pt>
                <c:pt idx="24">
                  <c:v>25.9</c:v>
                </c:pt>
                <c:pt idx="25">
                  <c:v>30.6</c:v>
                </c:pt>
                <c:pt idx="26">
                  <c:v>21.1</c:v>
                </c:pt>
                <c:pt idx="27">
                  <c:v>13.4</c:v>
                </c:pt>
                <c:pt idx="28">
                  <c:v>27.3</c:v>
                </c:pt>
                <c:pt idx="29">
                  <c:v>16.600000000000001</c:v>
                </c:pt>
                <c:pt idx="30">
                  <c:v>18</c:v>
                </c:pt>
                <c:pt idx="31">
                  <c:v>23.6</c:v>
                </c:pt>
                <c:pt idx="32">
                  <c:v>32</c:v>
                </c:pt>
                <c:pt idx="33">
                  <c:v>31.2</c:v>
                </c:pt>
                <c:pt idx="34">
                  <c:v>29.3</c:v>
                </c:pt>
                <c:pt idx="35">
                  <c:v>19.2</c:v>
                </c:pt>
                <c:pt idx="36">
                  <c:v>22.4</c:v>
                </c:pt>
                <c:pt idx="37">
                  <c:v>26.9</c:v>
                </c:pt>
                <c:pt idx="38">
                  <c:v>28.3</c:v>
                </c:pt>
                <c:pt idx="39">
                  <c:v>33.9</c:v>
                </c:pt>
                <c:pt idx="40">
                  <c:v>34.4</c:v>
                </c:pt>
                <c:pt idx="41">
                  <c:v>23.6</c:v>
                </c:pt>
                <c:pt idx="42">
                  <c:v>40.5</c:v>
                </c:pt>
                <c:pt idx="43">
                  <c:v>15.3</c:v>
                </c:pt>
                <c:pt idx="44">
                  <c:v>21.2</c:v>
                </c:pt>
                <c:pt idx="45">
                  <c:v>20</c:v>
                </c:pt>
                <c:pt idx="46">
                  <c:v>26.5</c:v>
                </c:pt>
                <c:pt idx="47">
                  <c:v>31.3</c:v>
                </c:pt>
                <c:pt idx="48">
                  <c:v>28.3</c:v>
                </c:pt>
                <c:pt idx="49">
                  <c:v>25.7</c:v>
                </c:pt>
                <c:pt idx="50">
                  <c:v>29.9</c:v>
                </c:pt>
                <c:pt idx="5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93A-48F0-A141-30AB961877A8}"/>
            </c:ext>
          </c:extLst>
        </c:ser>
        <c:ser>
          <c:idx val="8"/>
          <c:order val="8"/>
          <c:tx>
            <c:strRef>
              <c:f>'Pivot Table'!$J$1</c:f>
              <c:strCache>
                <c:ptCount val="1"/>
                <c:pt idx="0">
                  <c:v>Average of English Language Learners%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Table'!$A$2:$A$53</c:f>
              <c:strCache>
                <c:ptCount val="52"/>
                <c:pt idx="0">
                  <c:v>50 states, District of Columbia, and Puerto Rico</c:v>
                </c:pt>
                <c:pt idx="1">
                  <c:v>Alabama</c:v>
                </c:pt>
                <c:pt idx="2">
                  <c:v>Alaska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District of Columbia</c:v>
                </c:pt>
                <c:pt idx="10">
                  <c:v>Florida</c:v>
                </c:pt>
                <c:pt idx="11">
                  <c:v>Georgia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Maryland</c:v>
                </c:pt>
                <c:pt idx="22">
                  <c:v>Massachusetts</c:v>
                </c:pt>
                <c:pt idx="23">
                  <c:v>Michigan</c:v>
                </c:pt>
                <c:pt idx="24">
                  <c:v>Minnesota</c:v>
                </c:pt>
                <c:pt idx="25">
                  <c:v>Mississippi</c:v>
                </c:pt>
                <c:pt idx="26">
                  <c:v>Missouri</c:v>
                </c:pt>
                <c:pt idx="27">
                  <c:v>Montana</c:v>
                </c:pt>
                <c:pt idx="28">
                  <c:v>Nebraska</c:v>
                </c:pt>
                <c:pt idx="29">
                  <c:v>Nevada</c:v>
                </c:pt>
                <c:pt idx="30">
                  <c:v>New Hampshire</c:v>
                </c:pt>
                <c:pt idx="31">
                  <c:v>New Jersey</c:v>
                </c:pt>
                <c:pt idx="32">
                  <c:v>New Mexico</c:v>
                </c:pt>
                <c:pt idx="33">
                  <c:v>New York</c:v>
                </c:pt>
                <c:pt idx="34">
                  <c:v>North Carolina</c:v>
                </c:pt>
                <c:pt idx="35">
                  <c:v>North Dakota</c:v>
                </c:pt>
                <c:pt idx="36">
                  <c:v>Ohio</c:v>
                </c:pt>
                <c:pt idx="37">
                  <c:v>Oklahoma</c:v>
                </c:pt>
                <c:pt idx="38">
                  <c:v>Oregon</c:v>
                </c:pt>
                <c:pt idx="39">
                  <c:v>Pennsylvania</c:v>
                </c:pt>
                <c:pt idx="40">
                  <c:v>Rhode Island</c:v>
                </c:pt>
                <c:pt idx="41">
                  <c:v>South Carolina</c:v>
                </c:pt>
                <c:pt idx="42">
                  <c:v>South Dakota</c:v>
                </c:pt>
                <c:pt idx="43">
                  <c:v>Tennessee</c:v>
                </c:pt>
                <c:pt idx="44">
                  <c:v>Texas</c:v>
                </c:pt>
                <c:pt idx="45">
                  <c:v>Utah</c:v>
                </c:pt>
                <c:pt idx="46">
                  <c:v>Vermont</c:v>
                </c:pt>
                <c:pt idx="47">
                  <c:v>Virginia</c:v>
                </c:pt>
                <c:pt idx="48">
                  <c:v>Washington</c:v>
                </c:pt>
                <c:pt idx="49">
                  <c:v>West Virginia</c:v>
                </c:pt>
                <c:pt idx="50">
                  <c:v>Wisconsin</c:v>
                </c:pt>
                <c:pt idx="51">
                  <c:v>Wyoming</c:v>
                </c:pt>
              </c:strCache>
            </c:strRef>
          </c:cat>
          <c:val>
            <c:numRef>
              <c:f>'Pivot Table'!$J$2:$J$53</c:f>
              <c:numCache>
                <c:formatCode>General</c:formatCode>
                <c:ptCount val="52"/>
                <c:pt idx="0">
                  <c:v>7.3</c:v>
                </c:pt>
                <c:pt idx="1">
                  <c:v>0</c:v>
                </c:pt>
                <c:pt idx="2">
                  <c:v>13.2</c:v>
                </c:pt>
                <c:pt idx="3">
                  <c:v>3</c:v>
                </c:pt>
                <c:pt idx="4">
                  <c:v>4.2</c:v>
                </c:pt>
                <c:pt idx="5">
                  <c:v>17.600000000000001</c:v>
                </c:pt>
                <c:pt idx="6">
                  <c:v>7.6</c:v>
                </c:pt>
                <c:pt idx="7">
                  <c:v>1.1000000000000001</c:v>
                </c:pt>
                <c:pt idx="8">
                  <c:v>0</c:v>
                </c:pt>
                <c:pt idx="9">
                  <c:v>16.7</c:v>
                </c:pt>
                <c:pt idx="10">
                  <c:v>3.4</c:v>
                </c:pt>
                <c:pt idx="11">
                  <c:v>2.5</c:v>
                </c:pt>
                <c:pt idx="12">
                  <c:v>67.599999999999994</c:v>
                </c:pt>
                <c:pt idx="13">
                  <c:v>2.4</c:v>
                </c:pt>
                <c:pt idx="14">
                  <c:v>7.5</c:v>
                </c:pt>
                <c:pt idx="15">
                  <c:v>4</c:v>
                </c:pt>
                <c:pt idx="16">
                  <c:v>6.8</c:v>
                </c:pt>
                <c:pt idx="17">
                  <c:v>3.3</c:v>
                </c:pt>
                <c:pt idx="18">
                  <c:v>2.2000000000000002</c:v>
                </c:pt>
                <c:pt idx="19">
                  <c:v>2.7</c:v>
                </c:pt>
                <c:pt idx="20">
                  <c:v>0</c:v>
                </c:pt>
                <c:pt idx="21">
                  <c:v>2.9</c:v>
                </c:pt>
                <c:pt idx="22">
                  <c:v>11.6</c:v>
                </c:pt>
                <c:pt idx="23">
                  <c:v>4.5</c:v>
                </c:pt>
                <c:pt idx="24">
                  <c:v>9</c:v>
                </c:pt>
                <c:pt idx="25">
                  <c:v>0</c:v>
                </c:pt>
                <c:pt idx="26">
                  <c:v>2.1</c:v>
                </c:pt>
                <c:pt idx="27">
                  <c:v>0</c:v>
                </c:pt>
                <c:pt idx="28">
                  <c:v>0</c:v>
                </c:pt>
                <c:pt idx="29">
                  <c:v>29.2</c:v>
                </c:pt>
                <c:pt idx="30">
                  <c:v>0</c:v>
                </c:pt>
                <c:pt idx="31">
                  <c:v>1.2</c:v>
                </c:pt>
                <c:pt idx="32">
                  <c:v>16</c:v>
                </c:pt>
                <c:pt idx="33">
                  <c:v>0.9</c:v>
                </c:pt>
                <c:pt idx="34">
                  <c:v>3.4</c:v>
                </c:pt>
                <c:pt idx="35">
                  <c:v>7.7</c:v>
                </c:pt>
                <c:pt idx="36">
                  <c:v>0.6</c:v>
                </c:pt>
                <c:pt idx="37">
                  <c:v>2.2999999999999998</c:v>
                </c:pt>
                <c:pt idx="38">
                  <c:v>16.7</c:v>
                </c:pt>
                <c:pt idx="39">
                  <c:v>7.9</c:v>
                </c:pt>
                <c:pt idx="40">
                  <c:v>0</c:v>
                </c:pt>
                <c:pt idx="41">
                  <c:v>1.2</c:v>
                </c:pt>
                <c:pt idx="42">
                  <c:v>0</c:v>
                </c:pt>
                <c:pt idx="43">
                  <c:v>0</c:v>
                </c:pt>
                <c:pt idx="44">
                  <c:v>18.5</c:v>
                </c:pt>
                <c:pt idx="45">
                  <c:v>11.9</c:v>
                </c:pt>
                <c:pt idx="46">
                  <c:v>0</c:v>
                </c:pt>
                <c:pt idx="47">
                  <c:v>8.1</c:v>
                </c:pt>
                <c:pt idx="48">
                  <c:v>10.1</c:v>
                </c:pt>
                <c:pt idx="49">
                  <c:v>0</c:v>
                </c:pt>
                <c:pt idx="50">
                  <c:v>2.9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3A-48F0-A141-30AB961877A8}"/>
            </c:ext>
          </c:extLst>
        </c:ser>
        <c:ser>
          <c:idx val="9"/>
          <c:order val="9"/>
          <c:tx>
            <c:strRef>
              <c:f>'Pivot Table'!$K$1</c:f>
              <c:strCache>
                <c:ptCount val="1"/>
                <c:pt idx="0">
                  <c:v>Average of Percent of School Reporting%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Table'!$A$2:$A$53</c:f>
              <c:strCache>
                <c:ptCount val="52"/>
                <c:pt idx="0">
                  <c:v>50 states, District of Columbia, and Puerto Rico</c:v>
                </c:pt>
                <c:pt idx="1">
                  <c:v>Alabama</c:v>
                </c:pt>
                <c:pt idx="2">
                  <c:v>Alaska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District of Columbia</c:v>
                </c:pt>
                <c:pt idx="10">
                  <c:v>Florida</c:v>
                </c:pt>
                <c:pt idx="11">
                  <c:v>Georgia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Maryland</c:v>
                </c:pt>
                <c:pt idx="22">
                  <c:v>Massachusetts</c:v>
                </c:pt>
                <c:pt idx="23">
                  <c:v>Michigan</c:v>
                </c:pt>
                <c:pt idx="24">
                  <c:v>Minnesota</c:v>
                </c:pt>
                <c:pt idx="25">
                  <c:v>Mississippi</c:v>
                </c:pt>
                <c:pt idx="26">
                  <c:v>Missouri</c:v>
                </c:pt>
                <c:pt idx="27">
                  <c:v>Montana</c:v>
                </c:pt>
                <c:pt idx="28">
                  <c:v>Nebraska</c:v>
                </c:pt>
                <c:pt idx="29">
                  <c:v>Nevada</c:v>
                </c:pt>
                <c:pt idx="30">
                  <c:v>New Hampshire</c:v>
                </c:pt>
                <c:pt idx="31">
                  <c:v>New Jersey</c:v>
                </c:pt>
                <c:pt idx="32">
                  <c:v>New Mexico</c:v>
                </c:pt>
                <c:pt idx="33">
                  <c:v>New York</c:v>
                </c:pt>
                <c:pt idx="34">
                  <c:v>North Carolina</c:v>
                </c:pt>
                <c:pt idx="35">
                  <c:v>North Dakota</c:v>
                </c:pt>
                <c:pt idx="36">
                  <c:v>Ohio</c:v>
                </c:pt>
                <c:pt idx="37">
                  <c:v>Oklahoma</c:v>
                </c:pt>
                <c:pt idx="38">
                  <c:v>Oregon</c:v>
                </c:pt>
                <c:pt idx="39">
                  <c:v>Pennsylvania</c:v>
                </c:pt>
                <c:pt idx="40">
                  <c:v>Rhode Island</c:v>
                </c:pt>
                <c:pt idx="41">
                  <c:v>South Carolina</c:v>
                </c:pt>
                <c:pt idx="42">
                  <c:v>South Dakota</c:v>
                </c:pt>
                <c:pt idx="43">
                  <c:v>Tennessee</c:v>
                </c:pt>
                <c:pt idx="44">
                  <c:v>Texas</c:v>
                </c:pt>
                <c:pt idx="45">
                  <c:v>Utah</c:v>
                </c:pt>
                <c:pt idx="46">
                  <c:v>Vermont</c:v>
                </c:pt>
                <c:pt idx="47">
                  <c:v>Virginia</c:v>
                </c:pt>
                <c:pt idx="48">
                  <c:v>Washington</c:v>
                </c:pt>
                <c:pt idx="49">
                  <c:v>West Virginia</c:v>
                </c:pt>
                <c:pt idx="50">
                  <c:v>Wisconsin</c:v>
                </c:pt>
                <c:pt idx="51">
                  <c:v>Wyoming</c:v>
                </c:pt>
              </c:strCache>
            </c:strRef>
          </c:cat>
          <c:val>
            <c:numRef>
              <c:f>'Pivot Table'!$K$2:$K$53</c:f>
              <c:numCache>
                <c:formatCode>General</c:formatCode>
                <c:ptCount val="52"/>
                <c:pt idx="0">
                  <c:v>99.2</c:v>
                </c:pt>
                <c:pt idx="1">
                  <c:v>94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99.2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99.6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87.2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99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96.2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98.4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93A-48F0-A141-30AB961877A8}"/>
            </c:ext>
          </c:extLst>
        </c:ser>
        <c:ser>
          <c:idx val="10"/>
          <c:order val="10"/>
          <c:tx>
            <c:strRef>
              <c:f>'Pivot Table'!$L$1</c:f>
              <c:strCache>
                <c:ptCount val="1"/>
                <c:pt idx="0">
                  <c:v>Sum of Total Students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Table'!$A$2:$A$53</c:f>
              <c:strCache>
                <c:ptCount val="52"/>
                <c:pt idx="0">
                  <c:v>50 states, District of Columbia, and Puerto Rico</c:v>
                </c:pt>
                <c:pt idx="1">
                  <c:v>Alabama</c:v>
                </c:pt>
                <c:pt idx="2">
                  <c:v>Alaska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District of Columbia</c:v>
                </c:pt>
                <c:pt idx="10">
                  <c:v>Florida</c:v>
                </c:pt>
                <c:pt idx="11">
                  <c:v>Georgia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Maryland</c:v>
                </c:pt>
                <c:pt idx="22">
                  <c:v>Massachusetts</c:v>
                </c:pt>
                <c:pt idx="23">
                  <c:v>Michigan</c:v>
                </c:pt>
                <c:pt idx="24">
                  <c:v>Minnesota</c:v>
                </c:pt>
                <c:pt idx="25">
                  <c:v>Mississippi</c:v>
                </c:pt>
                <c:pt idx="26">
                  <c:v>Missouri</c:v>
                </c:pt>
                <c:pt idx="27">
                  <c:v>Montana</c:v>
                </c:pt>
                <c:pt idx="28">
                  <c:v>Nebraska</c:v>
                </c:pt>
                <c:pt idx="29">
                  <c:v>Nevada</c:v>
                </c:pt>
                <c:pt idx="30">
                  <c:v>New Hampshire</c:v>
                </c:pt>
                <c:pt idx="31">
                  <c:v>New Jersey</c:v>
                </c:pt>
                <c:pt idx="32">
                  <c:v>New Mexico</c:v>
                </c:pt>
                <c:pt idx="33">
                  <c:v>New York</c:v>
                </c:pt>
                <c:pt idx="34">
                  <c:v>North Carolina</c:v>
                </c:pt>
                <c:pt idx="35">
                  <c:v>North Dakota</c:v>
                </c:pt>
                <c:pt idx="36">
                  <c:v>Ohio</c:v>
                </c:pt>
                <c:pt idx="37">
                  <c:v>Oklahoma</c:v>
                </c:pt>
                <c:pt idx="38">
                  <c:v>Oregon</c:v>
                </c:pt>
                <c:pt idx="39">
                  <c:v>Pennsylvania</c:v>
                </c:pt>
                <c:pt idx="40">
                  <c:v>Rhode Island</c:v>
                </c:pt>
                <c:pt idx="41">
                  <c:v>South Carolina</c:v>
                </c:pt>
                <c:pt idx="42">
                  <c:v>South Dakota</c:v>
                </c:pt>
                <c:pt idx="43">
                  <c:v>Tennessee</c:v>
                </c:pt>
                <c:pt idx="44">
                  <c:v>Texas</c:v>
                </c:pt>
                <c:pt idx="45">
                  <c:v>Utah</c:v>
                </c:pt>
                <c:pt idx="46">
                  <c:v>Vermont</c:v>
                </c:pt>
                <c:pt idx="47">
                  <c:v>Virginia</c:v>
                </c:pt>
                <c:pt idx="48">
                  <c:v>Washington</c:v>
                </c:pt>
                <c:pt idx="49">
                  <c:v>West Virginia</c:v>
                </c:pt>
                <c:pt idx="50">
                  <c:v>Wisconsin</c:v>
                </c:pt>
                <c:pt idx="51">
                  <c:v>Wyoming</c:v>
                </c:pt>
              </c:strCache>
            </c:strRef>
          </c:cat>
          <c:val>
            <c:numRef>
              <c:f>'Pivot Table'!$L$2:$L$53</c:f>
              <c:numCache>
                <c:formatCode>General</c:formatCode>
                <c:ptCount val="52"/>
                <c:pt idx="0">
                  <c:v>12214</c:v>
                </c:pt>
                <c:pt idx="1">
                  <c:v>105</c:v>
                </c:pt>
                <c:pt idx="2">
                  <c:v>38</c:v>
                </c:pt>
                <c:pt idx="3">
                  <c:v>369</c:v>
                </c:pt>
                <c:pt idx="4">
                  <c:v>97</c:v>
                </c:pt>
                <c:pt idx="5">
                  <c:v>1356</c:v>
                </c:pt>
                <c:pt idx="6">
                  <c:v>53</c:v>
                </c:pt>
                <c:pt idx="7">
                  <c:v>88</c:v>
                </c:pt>
                <c:pt idx="8">
                  <c:v>7</c:v>
                </c:pt>
                <c:pt idx="9">
                  <c:v>6</c:v>
                </c:pt>
                <c:pt idx="10">
                  <c:v>203</c:v>
                </c:pt>
                <c:pt idx="11">
                  <c:v>159</c:v>
                </c:pt>
                <c:pt idx="12">
                  <c:v>34</c:v>
                </c:pt>
                <c:pt idx="13">
                  <c:v>82</c:v>
                </c:pt>
                <c:pt idx="14">
                  <c:v>714</c:v>
                </c:pt>
                <c:pt idx="15">
                  <c:v>229</c:v>
                </c:pt>
                <c:pt idx="16">
                  <c:v>131</c:v>
                </c:pt>
                <c:pt idx="17">
                  <c:v>119</c:v>
                </c:pt>
                <c:pt idx="18">
                  <c:v>137</c:v>
                </c:pt>
                <c:pt idx="19">
                  <c:v>37</c:v>
                </c:pt>
                <c:pt idx="20">
                  <c:v>63</c:v>
                </c:pt>
                <c:pt idx="21">
                  <c:v>104</c:v>
                </c:pt>
                <c:pt idx="22">
                  <c:v>155</c:v>
                </c:pt>
                <c:pt idx="23">
                  <c:v>578</c:v>
                </c:pt>
                <c:pt idx="24">
                  <c:v>544</c:v>
                </c:pt>
                <c:pt idx="25">
                  <c:v>72</c:v>
                </c:pt>
                <c:pt idx="26">
                  <c:v>473</c:v>
                </c:pt>
                <c:pt idx="27">
                  <c:v>75</c:v>
                </c:pt>
                <c:pt idx="28">
                  <c:v>161</c:v>
                </c:pt>
                <c:pt idx="29">
                  <c:v>24</c:v>
                </c:pt>
                <c:pt idx="30">
                  <c:v>106</c:v>
                </c:pt>
                <c:pt idx="31">
                  <c:v>1132</c:v>
                </c:pt>
                <c:pt idx="32">
                  <c:v>25</c:v>
                </c:pt>
                <c:pt idx="33">
                  <c:v>672</c:v>
                </c:pt>
                <c:pt idx="34">
                  <c:v>58</c:v>
                </c:pt>
                <c:pt idx="35">
                  <c:v>26</c:v>
                </c:pt>
                <c:pt idx="36">
                  <c:v>161</c:v>
                </c:pt>
                <c:pt idx="37">
                  <c:v>171</c:v>
                </c:pt>
                <c:pt idx="38">
                  <c:v>896</c:v>
                </c:pt>
                <c:pt idx="39">
                  <c:v>572</c:v>
                </c:pt>
                <c:pt idx="40">
                  <c:v>29</c:v>
                </c:pt>
                <c:pt idx="41">
                  <c:v>250</c:v>
                </c:pt>
                <c:pt idx="42">
                  <c:v>42</c:v>
                </c:pt>
                <c:pt idx="43">
                  <c:v>124</c:v>
                </c:pt>
                <c:pt idx="44">
                  <c:v>325</c:v>
                </c:pt>
                <c:pt idx="45">
                  <c:v>329</c:v>
                </c:pt>
                <c:pt idx="46">
                  <c:v>102</c:v>
                </c:pt>
                <c:pt idx="47">
                  <c:v>160</c:v>
                </c:pt>
                <c:pt idx="48">
                  <c:v>346</c:v>
                </c:pt>
                <c:pt idx="49">
                  <c:v>39</c:v>
                </c:pt>
                <c:pt idx="50">
                  <c:v>411</c:v>
                </c:pt>
                <c:pt idx="5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3A-48F0-A141-30AB961877A8}"/>
            </c:ext>
          </c:extLst>
        </c:ser>
        <c:ser>
          <c:idx val="11"/>
          <c:order val="11"/>
          <c:tx>
            <c:strRef>
              <c:f>'Pivot Table'!$M$1</c:f>
              <c:strCache>
                <c:ptCount val="1"/>
                <c:pt idx="0">
                  <c:v>Sum of Number of Schools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Table'!$A$2:$A$53</c:f>
              <c:strCache>
                <c:ptCount val="52"/>
                <c:pt idx="0">
                  <c:v>50 states, District of Columbia, and Puerto Rico</c:v>
                </c:pt>
                <c:pt idx="1">
                  <c:v>Alabama</c:v>
                </c:pt>
                <c:pt idx="2">
                  <c:v>Alaska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District of Columbia</c:v>
                </c:pt>
                <c:pt idx="10">
                  <c:v>Florida</c:v>
                </c:pt>
                <c:pt idx="11">
                  <c:v>Georgia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Maryland</c:v>
                </c:pt>
                <c:pt idx="22">
                  <c:v>Massachusetts</c:v>
                </c:pt>
                <c:pt idx="23">
                  <c:v>Michigan</c:v>
                </c:pt>
                <c:pt idx="24">
                  <c:v>Minnesota</c:v>
                </c:pt>
                <c:pt idx="25">
                  <c:v>Mississippi</c:v>
                </c:pt>
                <c:pt idx="26">
                  <c:v>Missouri</c:v>
                </c:pt>
                <c:pt idx="27">
                  <c:v>Montana</c:v>
                </c:pt>
                <c:pt idx="28">
                  <c:v>Nebraska</c:v>
                </c:pt>
                <c:pt idx="29">
                  <c:v>Nevada</c:v>
                </c:pt>
                <c:pt idx="30">
                  <c:v>New Hampshire</c:v>
                </c:pt>
                <c:pt idx="31">
                  <c:v>New Jersey</c:v>
                </c:pt>
                <c:pt idx="32">
                  <c:v>New Mexico</c:v>
                </c:pt>
                <c:pt idx="33">
                  <c:v>New York</c:v>
                </c:pt>
                <c:pt idx="34">
                  <c:v>North Carolina</c:v>
                </c:pt>
                <c:pt idx="35">
                  <c:v>North Dakota</c:v>
                </c:pt>
                <c:pt idx="36">
                  <c:v>Ohio</c:v>
                </c:pt>
                <c:pt idx="37">
                  <c:v>Oklahoma</c:v>
                </c:pt>
                <c:pt idx="38">
                  <c:v>Oregon</c:v>
                </c:pt>
                <c:pt idx="39">
                  <c:v>Pennsylvania</c:v>
                </c:pt>
                <c:pt idx="40">
                  <c:v>Rhode Island</c:v>
                </c:pt>
                <c:pt idx="41">
                  <c:v>South Carolina</c:v>
                </c:pt>
                <c:pt idx="42">
                  <c:v>South Dakota</c:v>
                </c:pt>
                <c:pt idx="43">
                  <c:v>Tennessee</c:v>
                </c:pt>
                <c:pt idx="44">
                  <c:v>Texas</c:v>
                </c:pt>
                <c:pt idx="45">
                  <c:v>Utah</c:v>
                </c:pt>
                <c:pt idx="46">
                  <c:v>Vermont</c:v>
                </c:pt>
                <c:pt idx="47">
                  <c:v>Virginia</c:v>
                </c:pt>
                <c:pt idx="48">
                  <c:v>Washington</c:v>
                </c:pt>
                <c:pt idx="49">
                  <c:v>West Virginia</c:v>
                </c:pt>
                <c:pt idx="50">
                  <c:v>Wisconsin</c:v>
                </c:pt>
                <c:pt idx="51">
                  <c:v>Wyoming</c:v>
                </c:pt>
              </c:strCache>
            </c:strRef>
          </c:cat>
          <c:val>
            <c:numRef>
              <c:f>'Pivot Table'!$M$2:$M$53</c:f>
              <c:numCache>
                <c:formatCode>General</c:formatCode>
                <c:ptCount val="52"/>
                <c:pt idx="0">
                  <c:v>97632</c:v>
                </c:pt>
                <c:pt idx="1">
                  <c:v>1390</c:v>
                </c:pt>
                <c:pt idx="2">
                  <c:v>506</c:v>
                </c:pt>
                <c:pt idx="3">
                  <c:v>2000</c:v>
                </c:pt>
                <c:pt idx="4">
                  <c:v>1088</c:v>
                </c:pt>
                <c:pt idx="5">
                  <c:v>10121</c:v>
                </c:pt>
                <c:pt idx="6">
                  <c:v>1908</c:v>
                </c:pt>
                <c:pt idx="7">
                  <c:v>1214</c:v>
                </c:pt>
                <c:pt idx="8">
                  <c:v>231</c:v>
                </c:pt>
                <c:pt idx="9">
                  <c:v>228</c:v>
                </c:pt>
                <c:pt idx="10">
                  <c:v>3976</c:v>
                </c:pt>
                <c:pt idx="11">
                  <c:v>2416</c:v>
                </c:pt>
                <c:pt idx="12">
                  <c:v>292</c:v>
                </c:pt>
                <c:pt idx="13">
                  <c:v>725</c:v>
                </c:pt>
                <c:pt idx="14">
                  <c:v>4145</c:v>
                </c:pt>
                <c:pt idx="15">
                  <c:v>1886</c:v>
                </c:pt>
                <c:pt idx="16">
                  <c:v>1343</c:v>
                </c:pt>
                <c:pt idx="17">
                  <c:v>1350</c:v>
                </c:pt>
                <c:pt idx="18">
                  <c:v>1401</c:v>
                </c:pt>
                <c:pt idx="19">
                  <c:v>1365</c:v>
                </c:pt>
                <c:pt idx="20">
                  <c:v>579</c:v>
                </c:pt>
                <c:pt idx="21">
                  <c:v>1414</c:v>
                </c:pt>
                <c:pt idx="22">
                  <c:v>1870</c:v>
                </c:pt>
                <c:pt idx="23">
                  <c:v>3559</c:v>
                </c:pt>
                <c:pt idx="24">
                  <c:v>2232</c:v>
                </c:pt>
                <c:pt idx="25">
                  <c:v>960</c:v>
                </c:pt>
                <c:pt idx="26">
                  <c:v>2381</c:v>
                </c:pt>
                <c:pt idx="27">
                  <c:v>823</c:v>
                </c:pt>
                <c:pt idx="28">
                  <c:v>1055</c:v>
                </c:pt>
                <c:pt idx="29">
                  <c:v>704</c:v>
                </c:pt>
                <c:pt idx="30">
                  <c:v>491</c:v>
                </c:pt>
                <c:pt idx="31">
                  <c:v>2561</c:v>
                </c:pt>
                <c:pt idx="32">
                  <c:v>866</c:v>
                </c:pt>
                <c:pt idx="33">
                  <c:v>4873</c:v>
                </c:pt>
                <c:pt idx="34">
                  <c:v>2661</c:v>
                </c:pt>
                <c:pt idx="35">
                  <c:v>483</c:v>
                </c:pt>
                <c:pt idx="36">
                  <c:v>3593</c:v>
                </c:pt>
                <c:pt idx="37">
                  <c:v>1816</c:v>
                </c:pt>
                <c:pt idx="38">
                  <c:v>1289</c:v>
                </c:pt>
                <c:pt idx="39">
                  <c:v>3006</c:v>
                </c:pt>
                <c:pt idx="40">
                  <c:v>312</c:v>
                </c:pt>
                <c:pt idx="41">
                  <c:v>1243</c:v>
                </c:pt>
                <c:pt idx="42">
                  <c:v>698</c:v>
                </c:pt>
                <c:pt idx="43">
                  <c:v>1777</c:v>
                </c:pt>
                <c:pt idx="44">
                  <c:v>8758</c:v>
                </c:pt>
                <c:pt idx="45">
                  <c:v>1029</c:v>
                </c:pt>
                <c:pt idx="46">
                  <c:v>302</c:v>
                </c:pt>
                <c:pt idx="47">
                  <c:v>1982</c:v>
                </c:pt>
                <c:pt idx="48">
                  <c:v>2339</c:v>
                </c:pt>
                <c:pt idx="49">
                  <c:v>691</c:v>
                </c:pt>
                <c:pt idx="50">
                  <c:v>2235</c:v>
                </c:pt>
                <c:pt idx="51">
                  <c:v>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17-42BA-B7DA-0FCABA83D49B}"/>
            </c:ext>
          </c:extLst>
        </c:ser>
        <c:ser>
          <c:idx val="12"/>
          <c:order val="12"/>
          <c:tx>
            <c:strRef>
              <c:f>'Pivot Table'!$N$1</c:f>
              <c:strCache>
                <c:ptCount val="1"/>
                <c:pt idx="0">
                  <c:v>Average of Students With Disabilities Served Only Under Section 504%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Table'!$A$2:$A$53</c:f>
              <c:strCache>
                <c:ptCount val="52"/>
                <c:pt idx="0">
                  <c:v>50 states, District of Columbia, and Puerto Rico</c:v>
                </c:pt>
                <c:pt idx="1">
                  <c:v>Alabama</c:v>
                </c:pt>
                <c:pt idx="2">
                  <c:v>Alaska</c:v>
                </c:pt>
                <c:pt idx="3">
                  <c:v>Arizona</c:v>
                </c:pt>
                <c:pt idx="4">
                  <c:v>Arkansas</c:v>
                </c:pt>
                <c:pt idx="5">
                  <c:v>California</c:v>
                </c:pt>
                <c:pt idx="6">
                  <c:v>Colorado</c:v>
                </c:pt>
                <c:pt idx="7">
                  <c:v>Connecticut</c:v>
                </c:pt>
                <c:pt idx="8">
                  <c:v>Delaware</c:v>
                </c:pt>
                <c:pt idx="9">
                  <c:v>District of Columbia</c:v>
                </c:pt>
                <c:pt idx="10">
                  <c:v>Florida</c:v>
                </c:pt>
                <c:pt idx="11">
                  <c:v>Georgia</c:v>
                </c:pt>
                <c:pt idx="12">
                  <c:v>Hawaii</c:v>
                </c:pt>
                <c:pt idx="13">
                  <c:v>Idaho</c:v>
                </c:pt>
                <c:pt idx="14">
                  <c:v>Illinois</c:v>
                </c:pt>
                <c:pt idx="15">
                  <c:v>Indiana</c:v>
                </c:pt>
                <c:pt idx="16">
                  <c:v>Iowa</c:v>
                </c:pt>
                <c:pt idx="17">
                  <c:v>Kansas</c:v>
                </c:pt>
                <c:pt idx="18">
                  <c:v>Kentucky</c:v>
                </c:pt>
                <c:pt idx="19">
                  <c:v>Louisiana</c:v>
                </c:pt>
                <c:pt idx="20">
                  <c:v>Maine</c:v>
                </c:pt>
                <c:pt idx="21">
                  <c:v>Maryland</c:v>
                </c:pt>
                <c:pt idx="22">
                  <c:v>Massachusetts</c:v>
                </c:pt>
                <c:pt idx="23">
                  <c:v>Michigan</c:v>
                </c:pt>
                <c:pt idx="24">
                  <c:v>Minnesota</c:v>
                </c:pt>
                <c:pt idx="25">
                  <c:v>Mississippi</c:v>
                </c:pt>
                <c:pt idx="26">
                  <c:v>Missouri</c:v>
                </c:pt>
                <c:pt idx="27">
                  <c:v>Montana</c:v>
                </c:pt>
                <c:pt idx="28">
                  <c:v>Nebraska</c:v>
                </c:pt>
                <c:pt idx="29">
                  <c:v>Nevada</c:v>
                </c:pt>
                <c:pt idx="30">
                  <c:v>New Hampshire</c:v>
                </c:pt>
                <c:pt idx="31">
                  <c:v>New Jersey</c:v>
                </c:pt>
                <c:pt idx="32">
                  <c:v>New Mexico</c:v>
                </c:pt>
                <c:pt idx="33">
                  <c:v>New York</c:v>
                </c:pt>
                <c:pt idx="34">
                  <c:v>North Carolina</c:v>
                </c:pt>
                <c:pt idx="35">
                  <c:v>North Dakota</c:v>
                </c:pt>
                <c:pt idx="36">
                  <c:v>Ohio</c:v>
                </c:pt>
                <c:pt idx="37">
                  <c:v>Oklahoma</c:v>
                </c:pt>
                <c:pt idx="38">
                  <c:v>Oregon</c:v>
                </c:pt>
                <c:pt idx="39">
                  <c:v>Pennsylvania</c:v>
                </c:pt>
                <c:pt idx="40">
                  <c:v>Rhode Island</c:v>
                </c:pt>
                <c:pt idx="41">
                  <c:v>South Carolina</c:v>
                </c:pt>
                <c:pt idx="42">
                  <c:v>South Dakota</c:v>
                </c:pt>
                <c:pt idx="43">
                  <c:v>Tennessee</c:v>
                </c:pt>
                <c:pt idx="44">
                  <c:v>Texas</c:v>
                </c:pt>
                <c:pt idx="45">
                  <c:v>Utah</c:v>
                </c:pt>
                <c:pt idx="46">
                  <c:v>Vermont</c:v>
                </c:pt>
                <c:pt idx="47">
                  <c:v>Virginia</c:v>
                </c:pt>
                <c:pt idx="48">
                  <c:v>Washington</c:v>
                </c:pt>
                <c:pt idx="49">
                  <c:v>West Virginia</c:v>
                </c:pt>
                <c:pt idx="50">
                  <c:v>Wisconsin</c:v>
                </c:pt>
                <c:pt idx="51">
                  <c:v>Wyoming</c:v>
                </c:pt>
              </c:strCache>
            </c:strRef>
          </c:cat>
          <c:val>
            <c:numRef>
              <c:f>'Pivot Table'!$N$2:$N$53</c:f>
              <c:numCache>
                <c:formatCode>General</c:formatCode>
                <c:ptCount val="52"/>
                <c:pt idx="0">
                  <c:v>3.1</c:v>
                </c:pt>
                <c:pt idx="1">
                  <c:v>1.9</c:v>
                </c:pt>
                <c:pt idx="2">
                  <c:v>2.6</c:v>
                </c:pt>
                <c:pt idx="3">
                  <c:v>3.2</c:v>
                </c:pt>
                <c:pt idx="4">
                  <c:v>3.1</c:v>
                </c:pt>
                <c:pt idx="5">
                  <c:v>2</c:v>
                </c:pt>
                <c:pt idx="6">
                  <c:v>3.8</c:v>
                </c:pt>
                <c:pt idx="7">
                  <c:v>10.3</c:v>
                </c:pt>
                <c:pt idx="8">
                  <c:v>0</c:v>
                </c:pt>
                <c:pt idx="9">
                  <c:v>0</c:v>
                </c:pt>
                <c:pt idx="10">
                  <c:v>8.4</c:v>
                </c:pt>
                <c:pt idx="11">
                  <c:v>2.5</c:v>
                </c:pt>
                <c:pt idx="12">
                  <c:v>67.599999999999994</c:v>
                </c:pt>
                <c:pt idx="13">
                  <c:v>2.4</c:v>
                </c:pt>
                <c:pt idx="14">
                  <c:v>2.1</c:v>
                </c:pt>
                <c:pt idx="15">
                  <c:v>0.9</c:v>
                </c:pt>
                <c:pt idx="16">
                  <c:v>1.5</c:v>
                </c:pt>
                <c:pt idx="17">
                  <c:v>0.9</c:v>
                </c:pt>
                <c:pt idx="18">
                  <c:v>2.9</c:v>
                </c:pt>
                <c:pt idx="19">
                  <c:v>21.6</c:v>
                </c:pt>
                <c:pt idx="20">
                  <c:v>1.6</c:v>
                </c:pt>
                <c:pt idx="21">
                  <c:v>3.8</c:v>
                </c:pt>
                <c:pt idx="22">
                  <c:v>6.4</c:v>
                </c:pt>
                <c:pt idx="23">
                  <c:v>3.3</c:v>
                </c:pt>
                <c:pt idx="24">
                  <c:v>1.8</c:v>
                </c:pt>
                <c:pt idx="25">
                  <c:v>0</c:v>
                </c:pt>
                <c:pt idx="26">
                  <c:v>2.2999999999999998</c:v>
                </c:pt>
                <c:pt idx="27">
                  <c:v>1.3</c:v>
                </c:pt>
                <c:pt idx="28">
                  <c:v>1.9</c:v>
                </c:pt>
                <c:pt idx="29">
                  <c:v>8.3000000000000007</c:v>
                </c:pt>
                <c:pt idx="30">
                  <c:v>8.5</c:v>
                </c:pt>
                <c:pt idx="31">
                  <c:v>3.2</c:v>
                </c:pt>
                <c:pt idx="32">
                  <c:v>0</c:v>
                </c:pt>
                <c:pt idx="33">
                  <c:v>3.1</c:v>
                </c:pt>
                <c:pt idx="34">
                  <c:v>1.7</c:v>
                </c:pt>
                <c:pt idx="35">
                  <c:v>0</c:v>
                </c:pt>
                <c:pt idx="36">
                  <c:v>5.6</c:v>
                </c:pt>
                <c:pt idx="37">
                  <c:v>0.6</c:v>
                </c:pt>
                <c:pt idx="38">
                  <c:v>3.2</c:v>
                </c:pt>
                <c:pt idx="39">
                  <c:v>1.9</c:v>
                </c:pt>
                <c:pt idx="40">
                  <c:v>10.3</c:v>
                </c:pt>
                <c:pt idx="41">
                  <c:v>2.4</c:v>
                </c:pt>
                <c:pt idx="42">
                  <c:v>2.4</c:v>
                </c:pt>
                <c:pt idx="43">
                  <c:v>2.4</c:v>
                </c:pt>
                <c:pt idx="44">
                  <c:v>8.9</c:v>
                </c:pt>
                <c:pt idx="45">
                  <c:v>1.5</c:v>
                </c:pt>
                <c:pt idx="46">
                  <c:v>6.9</c:v>
                </c:pt>
                <c:pt idx="47">
                  <c:v>0.6</c:v>
                </c:pt>
                <c:pt idx="48">
                  <c:v>4</c:v>
                </c:pt>
                <c:pt idx="49">
                  <c:v>0</c:v>
                </c:pt>
                <c:pt idx="50">
                  <c:v>0.5</c:v>
                </c:pt>
                <c:pt idx="5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17-42BA-B7DA-0FCABA83D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34714128"/>
        <c:axId val="1634713296"/>
      </c:barChart>
      <c:catAx>
        <c:axId val="163471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713296"/>
        <c:crosses val="autoZero"/>
        <c:auto val="1"/>
        <c:lblAlgn val="ctr"/>
        <c:lblOffset val="100"/>
        <c:noMultiLvlLbl val="0"/>
      </c:catAx>
      <c:valAx>
        <c:axId val="163471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71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44450</xdr:colOff>
      <xdr:row>0</xdr:row>
      <xdr:rowOff>177800</xdr:rowOff>
    </xdr:from>
    <xdr:to>
      <xdr:col>33</xdr:col>
      <xdr:colOff>38100</xdr:colOff>
      <xdr:row>5</xdr:row>
      <xdr:rowOff>31750</xdr:rowOff>
    </xdr:to>
    <xdr:sp macro="" textlink="'Worksheet(Total)'!B3">
      <xdr:nvSpPr>
        <xdr:cNvPr id="3" name="Rectangle 2">
          <a:extLst>
            <a:ext uri="{FF2B5EF4-FFF2-40B4-BE49-F238E27FC236}">
              <a16:creationId xmlns:a16="http://schemas.microsoft.com/office/drawing/2014/main" id="{1D14092B-CF3F-40F6-8AF2-4473041A20EA}"/>
            </a:ext>
          </a:extLst>
        </xdr:cNvPr>
        <xdr:cNvSpPr/>
      </xdr:nvSpPr>
      <xdr:spPr>
        <a:xfrm>
          <a:off x="615950" y="177800"/>
          <a:ext cx="5708650" cy="112395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fld id="{0D772D17-36FE-4651-A5FF-C44975E6A0D8}" type="TxLink">
            <a:rPr lang="en-US" sz="1100" b="0" i="0" u="none" strike="noStrike">
              <a:solidFill>
                <a:srgbClr val="000000"/>
              </a:solidFill>
              <a:latin typeface="Times New Roman"/>
              <a:cs typeface="Times New Roman"/>
            </a:rPr>
            <a:t>12,214</a:t>
          </a:fld>
          <a:endParaRPr lang="en-GB" sz="1100"/>
        </a:p>
      </xdr:txBody>
    </xdr:sp>
    <xdr:clientData/>
  </xdr:twoCellAnchor>
  <xdr:twoCellAnchor>
    <xdr:from>
      <xdr:col>3</xdr:col>
      <xdr:colOff>44450</xdr:colOff>
      <xdr:row>5</xdr:row>
      <xdr:rowOff>69850</xdr:rowOff>
    </xdr:from>
    <xdr:to>
      <xdr:col>17</xdr:col>
      <xdr:colOff>146050</xdr:colOff>
      <xdr:row>11</xdr:row>
      <xdr:rowOff>222250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8ACE5EA-03C3-4315-90AF-22A415235139}"/>
            </a:ext>
          </a:extLst>
        </xdr:cNvPr>
        <xdr:cNvSpPr/>
      </xdr:nvSpPr>
      <xdr:spPr>
        <a:xfrm>
          <a:off x="615950" y="1339850"/>
          <a:ext cx="2768600" cy="16764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184150</xdr:colOff>
      <xdr:row>5</xdr:row>
      <xdr:rowOff>63500</xdr:rowOff>
    </xdr:from>
    <xdr:to>
      <xdr:col>33</xdr:col>
      <xdr:colOff>25400</xdr:colOff>
      <xdr:row>11</xdr:row>
      <xdr:rowOff>222250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E3825BD-83C6-40F2-A06B-9B1A72FB07CB}"/>
            </a:ext>
          </a:extLst>
        </xdr:cNvPr>
        <xdr:cNvSpPr/>
      </xdr:nvSpPr>
      <xdr:spPr>
        <a:xfrm>
          <a:off x="3422650" y="1333500"/>
          <a:ext cx="2889250" cy="168275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152400</xdr:colOff>
      <xdr:row>12</xdr:row>
      <xdr:rowOff>82550</xdr:rowOff>
    </xdr:from>
    <xdr:to>
      <xdr:col>8</xdr:col>
      <xdr:colOff>44450</xdr:colOff>
      <xdr:row>13</xdr:row>
      <xdr:rowOff>120650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476F915-C400-4A1B-84F9-27F14E2FE233}"/>
            </a:ext>
          </a:extLst>
        </xdr:cNvPr>
        <xdr:cNvSpPr/>
      </xdr:nvSpPr>
      <xdr:spPr>
        <a:xfrm>
          <a:off x="723900" y="3130550"/>
          <a:ext cx="844550" cy="2921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44450</xdr:colOff>
      <xdr:row>12</xdr:row>
      <xdr:rowOff>12700</xdr:rowOff>
    </xdr:from>
    <xdr:to>
      <xdr:col>33</xdr:col>
      <xdr:colOff>57150</xdr:colOff>
      <xdr:row>17</xdr:row>
      <xdr:rowOff>19050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103B5F0-8285-4E93-9CF8-606EAF6C9F86}"/>
            </a:ext>
          </a:extLst>
        </xdr:cNvPr>
        <xdr:cNvSpPr/>
      </xdr:nvSpPr>
      <xdr:spPr>
        <a:xfrm>
          <a:off x="615950" y="3060700"/>
          <a:ext cx="5727700" cy="127635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415533</xdr:colOff>
      <xdr:row>27</xdr:row>
      <xdr:rowOff>22281</xdr:rowOff>
    </xdr:from>
    <xdr:to>
      <xdr:col>36</xdr:col>
      <xdr:colOff>44559</xdr:colOff>
      <xdr:row>49</xdr:row>
      <xdr:rowOff>34759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A28A48-58EE-4C12-82D6-232E938DC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8.697893865741" createdVersion="7" refreshedVersion="7" minRefreshableVersion="3" recordCount="53" xr:uid="{D944EA8A-CEAC-4F39-B60C-CCDBF29D448C}">
  <cacheSource type="worksheet">
    <worksheetSource name="Table3"/>
  </cacheSource>
  <cacheFields count="24">
    <cacheField name="State" numFmtId="0">
      <sharedItems count="53">
        <s v="50 states, District of Columbia, and Puerto Rico"/>
        <s v="Alabama"/>
        <s v="Alaska"/>
        <s v="Arizona"/>
        <s v="Arkansas"/>
        <s v="California"/>
        <s v="Colorado"/>
        <s v="Connecticut"/>
        <s v="Delaware"/>
        <s v="District of Columbia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  <s v="Puerto Rico"/>
      </sharedItems>
    </cacheField>
    <cacheField name="Total Students" numFmtId="3">
      <sharedItems containsSemiMixedTypes="0" containsString="0" containsNumber="1" containsInteger="1" minValue="0" maxValue="12214"/>
    </cacheField>
    <cacheField name="American Indian or_x000a_Alaska Native" numFmtId="3">
      <sharedItems containsSemiMixedTypes="0" containsString="0" containsNumber="1" containsInteger="1" minValue="0" maxValue="198"/>
    </cacheField>
    <cacheField name="American Indian or Alaska Native%" numFmtId="0">
      <sharedItems containsSemiMixedTypes="0" containsString="0" containsNumber="1" minValue="0" maxValue="36.799999999999997"/>
    </cacheField>
    <cacheField name="Asian" numFmtId="0">
      <sharedItems containsSemiMixedTypes="0" containsString="0" containsNumber="1" containsInteger="1" minValue="0" maxValue="191"/>
    </cacheField>
    <cacheField name="Asian%" numFmtId="0">
      <sharedItems containsSemiMixedTypes="0" containsString="0" containsNumber="1" minValue="0" maxValue="23.7"/>
    </cacheField>
    <cacheField name="Hispanic or Latino of any race" numFmtId="3">
      <sharedItems containsSemiMixedTypes="0" containsString="0" containsNumber="1" containsInteger="1" minValue="0" maxValue="2669"/>
    </cacheField>
    <cacheField name="Hispanic or Latino of any race%" numFmtId="0">
      <sharedItems containsSemiMixedTypes="0" containsString="0" containsNumber="1" minValue="0" maxValue="52.3"/>
    </cacheField>
    <cacheField name="Black or African American" numFmtId="3">
      <sharedItems containsSemiMixedTypes="0" containsString="0" containsNumber="1" containsInteger="1" minValue="0" maxValue="2670"/>
    </cacheField>
    <cacheField name="Black or African American%" numFmtId="0">
      <sharedItems containsSemiMixedTypes="0" containsString="0" containsNumber="1" minValue="0" maxValue="76"/>
    </cacheField>
    <cacheField name="White" numFmtId="3">
      <sharedItems containsSemiMixedTypes="0" containsString="0" containsNumber="1" containsInteger="1" minValue="0" maxValue="5944"/>
    </cacheField>
    <cacheField name="White%" numFmtId="0">
      <sharedItems containsSemiMixedTypes="0" containsString="0" containsNumber="1" minValue="0" maxValue="92.3"/>
    </cacheField>
    <cacheField name="Native Hawaiian or Other Pacific Islander" numFmtId="0">
      <sharedItems containsSemiMixedTypes="0" containsString="0" containsNumber="1" containsInteger="1" minValue="0" maxValue="71"/>
    </cacheField>
    <cacheField name="Native Hawaiian or Other Pacific Islander%" numFmtId="0">
      <sharedItems containsSemiMixedTypes="0" containsString="0" containsNumber="1" minValue="0" maxValue="55.9"/>
    </cacheField>
    <cacheField name="Two or more races" numFmtId="0">
      <sharedItems containsSemiMixedTypes="0" containsString="0" containsNumber="1" containsInteger="1" minValue="0" maxValue="471"/>
    </cacheField>
    <cacheField name="Two or More Races%" numFmtId="0">
      <sharedItems containsSemiMixedTypes="0" containsString="0" containsNumber="1" minValue="0" maxValue="11.8"/>
    </cacheField>
    <cacheField name="Students With Disabilities Served Under IDEA" numFmtId="3">
      <sharedItems containsSemiMixedTypes="0" containsString="0" containsNumber="1" containsInteger="1" minValue="0" maxValue="2931"/>
    </cacheField>
    <cacheField name="Students With Disabilities Served under IDEA%" numFmtId="0">
      <sharedItems containsSemiMixedTypes="0" containsString="0" containsNumber="1" minValue="0" maxValue="67.599999999999994"/>
    </cacheField>
    <cacheField name="Students With Disabilities Served Only Under Section 504" numFmtId="0">
      <sharedItems containsSemiMixedTypes="0" containsString="0" containsNumber="1" containsInteger="1" minValue="0" maxValue="385"/>
    </cacheField>
    <cacheField name="Students With Disabilities Served Only Under Section 504%" numFmtId="0">
      <sharedItems containsSemiMixedTypes="0" containsString="0" containsNumber="1" minValue="0" maxValue="67.599999999999994"/>
    </cacheField>
    <cacheField name="English Language Learners" numFmtId="0">
      <sharedItems containsSemiMixedTypes="0" containsString="0" containsNumber="1" containsInteger="1" minValue="0" maxValue="882"/>
    </cacheField>
    <cacheField name="English Language Learners%" numFmtId="0">
      <sharedItems containsSemiMixedTypes="0" containsString="0" containsNumber="1" minValue="0" maxValue="67.599999999999994"/>
    </cacheField>
    <cacheField name="Number of Schools" numFmtId="3">
      <sharedItems containsSemiMixedTypes="0" containsString="0" containsNumber="1" containsInteger="1" minValue="228" maxValue="97632"/>
    </cacheField>
    <cacheField name="Percent of School Reporting%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n v="12214"/>
    <n v="198"/>
    <n v="1.7"/>
    <n v="191"/>
    <n v="1.5"/>
    <n v="2669"/>
    <n v="21.9"/>
    <n v="2670"/>
    <n v="21.8"/>
    <n v="5944"/>
    <n v="48.7"/>
    <n v="71"/>
    <n v="0.6"/>
    <n v="471"/>
    <n v="3.9"/>
    <n v="2931"/>
    <n v="24"/>
    <n v="385"/>
    <n v="3.1"/>
    <n v="882"/>
    <n v="7.3"/>
    <n v="97632"/>
    <n v="99.2"/>
  </r>
  <r>
    <x v="1"/>
    <n v="105"/>
    <n v="0"/>
    <n v="0"/>
    <n v="2"/>
    <n v="1.9"/>
    <n v="3"/>
    <n v="2.9"/>
    <n v="50"/>
    <n v="47.7"/>
    <n v="47"/>
    <n v="44.8"/>
    <n v="0"/>
    <n v="0"/>
    <n v="3"/>
    <n v="2.9"/>
    <n v="18"/>
    <n v="17.2"/>
    <n v="2"/>
    <n v="1.9"/>
    <n v="0"/>
    <n v="0"/>
    <n v="1390"/>
    <n v="94"/>
  </r>
  <r>
    <x v="2"/>
    <n v="38"/>
    <n v="14"/>
    <n v="36.799999999999997"/>
    <n v="9"/>
    <n v="23.7"/>
    <n v="12"/>
    <n v="31.6"/>
    <n v="1"/>
    <n v="2.7"/>
    <n v="0"/>
    <n v="0"/>
    <n v="2"/>
    <n v="5.3"/>
    <n v="0"/>
    <n v="0"/>
    <n v="2"/>
    <n v="5.3"/>
    <n v="1"/>
    <n v="2.6"/>
    <n v="5"/>
    <n v="13.2"/>
    <n v="506"/>
    <n v="100"/>
  </r>
  <r>
    <x v="3"/>
    <n v="369"/>
    <n v="24"/>
    <n v="6.5"/>
    <n v="2"/>
    <n v="0.6"/>
    <n v="142"/>
    <n v="38.5"/>
    <n v="50"/>
    <n v="13.6"/>
    <n v="143"/>
    <n v="38.799999999999997"/>
    <n v="1"/>
    <n v="0.3"/>
    <n v="7"/>
    <n v="1.9"/>
    <n v="61"/>
    <n v="16.600000000000001"/>
    <n v="12"/>
    <n v="3.2"/>
    <n v="11"/>
    <n v="3"/>
    <n v="2000"/>
    <n v="100"/>
  </r>
  <r>
    <x v="4"/>
    <n v="97"/>
    <n v="0"/>
    <n v="0"/>
    <n v="0"/>
    <n v="0"/>
    <n v="6"/>
    <n v="6.2"/>
    <n v="26"/>
    <n v="26.8"/>
    <n v="61"/>
    <n v="62.9"/>
    <n v="0"/>
    <n v="0"/>
    <n v="4"/>
    <n v="4.0999999999999996"/>
    <n v="24"/>
    <n v="24.7"/>
    <n v="3"/>
    <n v="3.1"/>
    <n v="4"/>
    <n v="4.2"/>
    <n v="1088"/>
    <n v="100"/>
  </r>
  <r>
    <x v="5"/>
    <n v="1356"/>
    <n v="17"/>
    <n v="1.3"/>
    <n v="38"/>
    <n v="2.8"/>
    <n v="709"/>
    <n v="52.3"/>
    <n v="210"/>
    <n v="15.5"/>
    <n v="318"/>
    <n v="23.5"/>
    <n v="8"/>
    <n v="0.6"/>
    <n v="56"/>
    <n v="4.2"/>
    <n v="246"/>
    <n v="18.100000000000001"/>
    <n v="27"/>
    <n v="2"/>
    <n v="239"/>
    <n v="17.600000000000001"/>
    <n v="10121"/>
    <n v="99.2"/>
  </r>
  <r>
    <x v="6"/>
    <n v="53"/>
    <n v="0"/>
    <n v="0"/>
    <n v="0"/>
    <n v="0"/>
    <n v="15"/>
    <n v="28.3"/>
    <n v="1"/>
    <n v="1.9"/>
    <n v="35"/>
    <n v="66"/>
    <n v="0"/>
    <n v="0"/>
    <n v="2"/>
    <n v="3.8"/>
    <n v="9"/>
    <n v="17"/>
    <n v="2"/>
    <n v="3.8"/>
    <n v="4"/>
    <n v="7.6"/>
    <n v="1908"/>
    <n v="100"/>
  </r>
  <r>
    <x v="7"/>
    <n v="88"/>
    <n v="0"/>
    <n v="0"/>
    <n v="2"/>
    <n v="2.2999999999999998"/>
    <n v="28"/>
    <n v="31.9"/>
    <n v="7"/>
    <n v="8"/>
    <n v="50"/>
    <n v="56.9"/>
    <n v="0"/>
    <n v="0"/>
    <n v="1"/>
    <n v="1.1000000000000001"/>
    <n v="28"/>
    <n v="31.8"/>
    <n v="9"/>
    <n v="10.3"/>
    <n v="1"/>
    <n v="1.1000000000000001"/>
    <n v="1214"/>
    <n v="100"/>
  </r>
  <r>
    <x v="8"/>
    <n v="7"/>
    <n v="0"/>
    <n v="0"/>
    <n v="0"/>
    <n v="0"/>
    <n v="0"/>
    <n v="0"/>
    <n v="1"/>
    <n v="14.3"/>
    <n v="6"/>
    <n v="85.7"/>
    <n v="0"/>
    <n v="0"/>
    <n v="0"/>
    <n v="0"/>
    <n v="2"/>
    <n v="28.5"/>
    <n v="0"/>
    <n v="0"/>
    <n v="0"/>
    <n v="0"/>
    <n v="231"/>
    <n v="100"/>
  </r>
  <r>
    <x v="9"/>
    <n v="6"/>
    <n v="0"/>
    <n v="0"/>
    <n v="0"/>
    <n v="0"/>
    <n v="1"/>
    <n v="16.7"/>
    <n v="4"/>
    <n v="66.7"/>
    <n v="1"/>
    <n v="16.7"/>
    <n v="0"/>
    <n v="0"/>
    <n v="0"/>
    <n v="0"/>
    <n v="0"/>
    <n v="0"/>
    <n v="0"/>
    <n v="0"/>
    <n v="1"/>
    <n v="16.7"/>
    <n v="228"/>
    <n v="99.6"/>
  </r>
  <r>
    <x v="10"/>
    <n v="203"/>
    <n v="0"/>
    <n v="0"/>
    <n v="1"/>
    <n v="0.5"/>
    <n v="45"/>
    <n v="22.2"/>
    <n v="76"/>
    <n v="37.4"/>
    <n v="70"/>
    <n v="34.5"/>
    <n v="0"/>
    <n v="0"/>
    <n v="11"/>
    <n v="5.4"/>
    <n v="76"/>
    <n v="37.4"/>
    <n v="17"/>
    <n v="8.4"/>
    <n v="7"/>
    <n v="3.4"/>
    <n v="3976"/>
    <n v="100"/>
  </r>
  <r>
    <x v="11"/>
    <n v="159"/>
    <n v="0"/>
    <n v="0"/>
    <n v="0"/>
    <n v="0"/>
    <n v="17"/>
    <n v="10.7"/>
    <n v="91"/>
    <n v="57.2"/>
    <n v="45"/>
    <n v="28.3"/>
    <n v="0"/>
    <n v="0"/>
    <n v="6"/>
    <n v="3.8"/>
    <n v="40"/>
    <n v="25.1"/>
    <n v="4"/>
    <n v="2.5"/>
    <n v="4"/>
    <n v="2.5"/>
    <n v="2416"/>
    <n v="100"/>
  </r>
  <r>
    <x v="12"/>
    <n v="34"/>
    <n v="0"/>
    <n v="0"/>
    <n v="5"/>
    <n v="14.7"/>
    <n v="5"/>
    <n v="14.7"/>
    <n v="0"/>
    <n v="0"/>
    <n v="1"/>
    <n v="3"/>
    <n v="19"/>
    <n v="55.9"/>
    <n v="4"/>
    <n v="11.8"/>
    <n v="23"/>
    <n v="67.599999999999994"/>
    <n v="23"/>
    <n v="67.599999999999994"/>
    <n v="23"/>
    <n v="67.599999999999994"/>
    <n v="292"/>
    <n v="100"/>
  </r>
  <r>
    <x v="13"/>
    <n v="82"/>
    <n v="7"/>
    <n v="8.5"/>
    <n v="0"/>
    <n v="0"/>
    <n v="20"/>
    <n v="24.4"/>
    <n v="0"/>
    <n v="0"/>
    <n v="55"/>
    <n v="67"/>
    <n v="0"/>
    <n v="0"/>
    <n v="0"/>
    <n v="0"/>
    <n v="13"/>
    <n v="15.9"/>
    <n v="2"/>
    <n v="2.4"/>
    <n v="2"/>
    <n v="2.4"/>
    <n v="725"/>
    <n v="100"/>
  </r>
  <r>
    <x v="14"/>
    <n v="714"/>
    <n v="0"/>
    <n v="0"/>
    <n v="17"/>
    <n v="2.4"/>
    <n v="124"/>
    <n v="17.399999999999999"/>
    <n v="237"/>
    <n v="33.200000000000003"/>
    <n v="301"/>
    <n v="42.2"/>
    <n v="0"/>
    <n v="0"/>
    <n v="35"/>
    <n v="4.9000000000000004"/>
    <n v="136"/>
    <n v="19.100000000000001"/>
    <n v="15"/>
    <n v="2.1"/>
    <n v="54"/>
    <n v="7.5"/>
    <n v="4145"/>
    <n v="87.2"/>
  </r>
  <r>
    <x v="15"/>
    <n v="229"/>
    <n v="0"/>
    <n v="0"/>
    <n v="0"/>
    <n v="0"/>
    <n v="34"/>
    <n v="14.8"/>
    <n v="86"/>
    <n v="37.5"/>
    <n v="100"/>
    <n v="43.6"/>
    <n v="0"/>
    <n v="0"/>
    <n v="9"/>
    <n v="3.9"/>
    <n v="29"/>
    <n v="12.6"/>
    <n v="2"/>
    <n v="0.9"/>
    <n v="9"/>
    <n v="4"/>
    <n v="1886"/>
    <n v="100"/>
  </r>
  <r>
    <x v="16"/>
    <n v="131"/>
    <n v="0"/>
    <n v="0"/>
    <n v="1"/>
    <n v="0.8"/>
    <n v="15"/>
    <n v="11.4"/>
    <n v="12"/>
    <n v="9.1999999999999993"/>
    <n v="100"/>
    <n v="76.400000000000006"/>
    <n v="1"/>
    <n v="0.8"/>
    <n v="2"/>
    <n v="1.6"/>
    <n v="34"/>
    <n v="25.9"/>
    <n v="2"/>
    <n v="1.5"/>
    <n v="9"/>
    <n v="6.8"/>
    <n v="1343"/>
    <n v="100"/>
  </r>
  <r>
    <x v="17"/>
    <n v="119"/>
    <n v="1"/>
    <n v="0.9"/>
    <n v="1"/>
    <n v="0.9"/>
    <n v="14"/>
    <n v="11.8"/>
    <n v="4"/>
    <n v="3.3"/>
    <n v="92"/>
    <n v="77.3"/>
    <n v="0"/>
    <n v="0"/>
    <n v="7"/>
    <n v="5.9"/>
    <n v="33"/>
    <n v="27.8"/>
    <n v="1"/>
    <n v="0.9"/>
    <n v="4"/>
    <n v="3.3"/>
    <n v="1350"/>
    <n v="100"/>
  </r>
  <r>
    <x v="18"/>
    <n v="137"/>
    <n v="0"/>
    <n v="0"/>
    <n v="1"/>
    <n v="0.7"/>
    <n v="5"/>
    <n v="3.6"/>
    <n v="45"/>
    <n v="32.799999999999997"/>
    <n v="74"/>
    <n v="54"/>
    <n v="0"/>
    <n v="0"/>
    <n v="12"/>
    <n v="8.8000000000000007"/>
    <n v="18"/>
    <n v="13.2"/>
    <n v="4"/>
    <n v="2.9"/>
    <n v="3"/>
    <n v="2.2000000000000002"/>
    <n v="1401"/>
    <n v="100"/>
  </r>
  <r>
    <x v="19"/>
    <n v="37"/>
    <n v="1"/>
    <n v="2.7"/>
    <n v="0"/>
    <n v="0"/>
    <n v="4"/>
    <n v="10.8"/>
    <n v="22"/>
    <n v="59.4"/>
    <n v="9"/>
    <n v="24.4"/>
    <n v="0"/>
    <n v="0"/>
    <n v="1"/>
    <n v="2.7"/>
    <n v="10"/>
    <n v="27.1"/>
    <n v="8"/>
    <n v="21.6"/>
    <n v="1"/>
    <n v="2.7"/>
    <n v="1365"/>
    <n v="100"/>
  </r>
  <r>
    <x v="20"/>
    <n v="63"/>
    <n v="0"/>
    <n v="0"/>
    <n v="0"/>
    <n v="0"/>
    <n v="1"/>
    <n v="1.6"/>
    <n v="4"/>
    <n v="6.3"/>
    <n v="55"/>
    <n v="87.3"/>
    <n v="0"/>
    <n v="0"/>
    <n v="3"/>
    <n v="4.7"/>
    <n v="19"/>
    <n v="30.1"/>
    <n v="1"/>
    <n v="1.6"/>
    <n v="0"/>
    <n v="0"/>
    <n v="579"/>
    <n v="100"/>
  </r>
  <r>
    <x v="21"/>
    <n v="104"/>
    <n v="0"/>
    <n v="0"/>
    <n v="2"/>
    <n v="1.9"/>
    <n v="5"/>
    <n v="4.8"/>
    <n v="40"/>
    <n v="38.5"/>
    <n v="52"/>
    <n v="50"/>
    <n v="0"/>
    <n v="0"/>
    <n v="5"/>
    <n v="4.8"/>
    <n v="17"/>
    <n v="16.3"/>
    <n v="4"/>
    <n v="3.8"/>
    <n v="3"/>
    <n v="2.9"/>
    <n v="1414"/>
    <n v="100"/>
  </r>
  <r>
    <x v="22"/>
    <n v="155"/>
    <n v="2"/>
    <n v="1.3"/>
    <n v="2"/>
    <n v="1.3"/>
    <n v="30"/>
    <n v="19.399999999999999"/>
    <n v="30"/>
    <n v="19.3"/>
    <n v="86"/>
    <n v="55.5"/>
    <n v="0"/>
    <n v="0"/>
    <n v="5"/>
    <n v="3.2"/>
    <n v="44"/>
    <n v="28.4"/>
    <n v="10"/>
    <n v="6.4"/>
    <n v="18"/>
    <n v="11.6"/>
    <n v="1870"/>
    <n v="99"/>
  </r>
  <r>
    <x v="23"/>
    <n v="578"/>
    <n v="6"/>
    <n v="1.1000000000000001"/>
    <n v="6"/>
    <n v="1"/>
    <n v="36"/>
    <n v="6.3"/>
    <n v="91"/>
    <n v="15.8"/>
    <n v="411"/>
    <n v="71.099999999999994"/>
    <n v="1"/>
    <n v="0.2"/>
    <n v="27"/>
    <n v="4.7"/>
    <n v="123"/>
    <n v="21.2"/>
    <n v="19"/>
    <n v="3.3"/>
    <n v="26"/>
    <n v="4.5"/>
    <n v="3559"/>
    <n v="100"/>
  </r>
  <r>
    <x v="24"/>
    <n v="544"/>
    <n v="44"/>
    <n v="8.1"/>
    <n v="14"/>
    <n v="2.6"/>
    <n v="56"/>
    <n v="10.3"/>
    <n v="151"/>
    <n v="27.8"/>
    <n v="255"/>
    <n v="46.9"/>
    <n v="0"/>
    <n v="0"/>
    <n v="24"/>
    <n v="4.4000000000000004"/>
    <n v="141"/>
    <n v="25.9"/>
    <n v="10"/>
    <n v="1.8"/>
    <n v="49"/>
    <n v="9"/>
    <n v="2232"/>
    <n v="100"/>
  </r>
  <r>
    <x v="25"/>
    <n v="72"/>
    <n v="0"/>
    <n v="0"/>
    <n v="1"/>
    <n v="1.4"/>
    <n v="0"/>
    <n v="0"/>
    <n v="39"/>
    <n v="54.2"/>
    <n v="32"/>
    <n v="44.4"/>
    <n v="0"/>
    <n v="0"/>
    <n v="0"/>
    <n v="0"/>
    <n v="22"/>
    <n v="30.6"/>
    <n v="0"/>
    <n v="0"/>
    <n v="0"/>
    <n v="0"/>
    <n v="960"/>
    <n v="100"/>
  </r>
  <r>
    <x v="26"/>
    <n v="473"/>
    <n v="1"/>
    <n v="0.2"/>
    <n v="2"/>
    <n v="0.4"/>
    <n v="19"/>
    <n v="4"/>
    <n v="180"/>
    <n v="38"/>
    <n v="254"/>
    <n v="53.7"/>
    <n v="1"/>
    <n v="0.2"/>
    <n v="16"/>
    <n v="3.4"/>
    <n v="100"/>
    <n v="21.1"/>
    <n v="11"/>
    <n v="2.2999999999999998"/>
    <n v="10"/>
    <n v="2.1"/>
    <n v="2381"/>
    <n v="100"/>
  </r>
  <r>
    <x v="27"/>
    <n v="75"/>
    <n v="8"/>
    <n v="10.6"/>
    <n v="1"/>
    <n v="1.3"/>
    <n v="2"/>
    <n v="2.7"/>
    <n v="4"/>
    <n v="5.3"/>
    <n v="58"/>
    <n v="77.400000000000006"/>
    <n v="0"/>
    <n v="0"/>
    <n v="2"/>
    <n v="2.7"/>
    <n v="10"/>
    <n v="13.4"/>
    <n v="1"/>
    <n v="1.3"/>
    <n v="0"/>
    <n v="0"/>
    <n v="823"/>
    <n v="96.2"/>
  </r>
  <r>
    <x v="28"/>
    <n v="161"/>
    <n v="2"/>
    <n v="1.2"/>
    <n v="0"/>
    <n v="0"/>
    <n v="28"/>
    <n v="17.399999999999999"/>
    <n v="33"/>
    <n v="20.5"/>
    <n v="86"/>
    <n v="53.4"/>
    <n v="0"/>
    <n v="0"/>
    <n v="12"/>
    <n v="7.4"/>
    <n v="44"/>
    <n v="27.3"/>
    <n v="3"/>
    <n v="1.9"/>
    <n v="0"/>
    <n v="0"/>
    <n v="1055"/>
    <n v="100"/>
  </r>
  <r>
    <x v="29"/>
    <n v="24"/>
    <n v="2"/>
    <n v="8.3000000000000007"/>
    <n v="0"/>
    <n v="0"/>
    <n v="9"/>
    <n v="37.5"/>
    <n v="1"/>
    <n v="4.2"/>
    <n v="12"/>
    <n v="50"/>
    <n v="0"/>
    <n v="0"/>
    <n v="0"/>
    <n v="0"/>
    <n v="4"/>
    <n v="16.600000000000001"/>
    <n v="2"/>
    <n v="8.3000000000000007"/>
    <n v="7"/>
    <n v="29.2"/>
    <n v="704"/>
    <n v="100"/>
  </r>
  <r>
    <x v="30"/>
    <n v="106"/>
    <n v="1"/>
    <n v="1"/>
    <n v="2"/>
    <n v="1.9"/>
    <n v="2"/>
    <n v="1.9"/>
    <n v="5"/>
    <n v="4.7"/>
    <n v="92"/>
    <n v="86.7"/>
    <n v="1"/>
    <n v="1"/>
    <n v="3"/>
    <n v="2.9"/>
    <n v="19"/>
    <n v="18"/>
    <n v="9"/>
    <n v="8.5"/>
    <n v="0"/>
    <n v="0"/>
    <n v="491"/>
    <n v="100"/>
  </r>
  <r>
    <x v="31"/>
    <n v="1132"/>
    <n v="1"/>
    <n v="0.1"/>
    <n v="39"/>
    <n v="3.5"/>
    <n v="247"/>
    <n v="21.8"/>
    <n v="255"/>
    <n v="22.6"/>
    <n v="557"/>
    <n v="49.2"/>
    <n v="0"/>
    <n v="0"/>
    <n v="33"/>
    <n v="2.9"/>
    <n v="267"/>
    <n v="23.6"/>
    <n v="36"/>
    <n v="3.2"/>
    <n v="13"/>
    <n v="1.2"/>
    <n v="2561"/>
    <n v="100"/>
  </r>
  <r>
    <x v="32"/>
    <n v="25"/>
    <n v="4"/>
    <n v="16"/>
    <n v="0"/>
    <n v="0"/>
    <n v="13"/>
    <n v="52"/>
    <n v="0"/>
    <n v="0"/>
    <n v="8"/>
    <n v="32"/>
    <n v="0"/>
    <n v="0"/>
    <n v="0"/>
    <n v="0"/>
    <n v="8"/>
    <n v="32"/>
    <n v="0"/>
    <n v="0"/>
    <n v="4"/>
    <n v="16"/>
    <n v="866"/>
    <n v="100"/>
  </r>
  <r>
    <x v="33"/>
    <n v="672"/>
    <n v="2"/>
    <n v="0.3"/>
    <n v="13"/>
    <n v="1.9"/>
    <n v="45"/>
    <n v="6.7"/>
    <n v="131"/>
    <n v="19.5"/>
    <n v="471"/>
    <n v="70.099999999999994"/>
    <n v="0"/>
    <n v="0"/>
    <n v="10"/>
    <n v="1.5"/>
    <n v="210"/>
    <n v="31.2"/>
    <n v="21"/>
    <n v="3.1"/>
    <n v="6"/>
    <n v="0.9"/>
    <n v="4873"/>
    <n v="100"/>
  </r>
  <r>
    <x v="34"/>
    <n v="58"/>
    <n v="0"/>
    <n v="0"/>
    <n v="1"/>
    <n v="1.7"/>
    <n v="6"/>
    <n v="10.3"/>
    <n v="31"/>
    <n v="53.4"/>
    <n v="14"/>
    <n v="24.2"/>
    <n v="0"/>
    <n v="0"/>
    <n v="6"/>
    <n v="10.3"/>
    <n v="17"/>
    <n v="29.3"/>
    <n v="1"/>
    <n v="1.7"/>
    <n v="2"/>
    <n v="3.4"/>
    <n v="2661"/>
    <n v="100"/>
  </r>
  <r>
    <x v="35"/>
    <n v="26"/>
    <n v="4"/>
    <n v="15.4"/>
    <n v="0"/>
    <n v="0"/>
    <n v="3"/>
    <n v="11.5"/>
    <n v="2"/>
    <n v="7.7"/>
    <n v="17"/>
    <n v="65.400000000000006"/>
    <n v="0"/>
    <n v="0"/>
    <n v="0"/>
    <n v="0"/>
    <n v="5"/>
    <n v="19.2"/>
    <n v="0"/>
    <n v="0"/>
    <n v="2"/>
    <n v="7.7"/>
    <n v="483"/>
    <n v="100"/>
  </r>
  <r>
    <x v="36"/>
    <n v="161"/>
    <n v="0"/>
    <n v="0"/>
    <n v="0"/>
    <n v="0"/>
    <n v="3"/>
    <n v="1.9"/>
    <n v="56"/>
    <n v="34.799999999999997"/>
    <n v="96"/>
    <n v="59.6"/>
    <n v="0"/>
    <n v="0"/>
    <n v="6"/>
    <n v="3.7"/>
    <n v="36"/>
    <n v="22.4"/>
    <n v="9"/>
    <n v="5.6"/>
    <n v="1"/>
    <n v="0.6"/>
    <n v="3593"/>
    <n v="100"/>
  </r>
  <r>
    <x v="37"/>
    <n v="171"/>
    <n v="17"/>
    <n v="9.9"/>
    <n v="4"/>
    <n v="2.2999999999999998"/>
    <n v="18"/>
    <n v="10.5"/>
    <n v="37"/>
    <n v="21.7"/>
    <n v="83"/>
    <n v="48.5"/>
    <n v="0"/>
    <n v="0"/>
    <n v="12"/>
    <n v="7"/>
    <n v="46"/>
    <n v="26.9"/>
    <n v="1"/>
    <n v="0.6"/>
    <n v="4"/>
    <n v="2.2999999999999998"/>
    <n v="1816"/>
    <n v="100"/>
  </r>
  <r>
    <x v="38"/>
    <n v="896"/>
    <n v="6"/>
    <n v="0.6"/>
    <n v="8"/>
    <n v="0.9"/>
    <n v="326"/>
    <n v="36.4"/>
    <n v="31"/>
    <n v="3.4"/>
    <n v="448"/>
    <n v="50"/>
    <n v="24"/>
    <n v="2.7"/>
    <n v="53"/>
    <n v="5.9"/>
    <n v="253"/>
    <n v="28.3"/>
    <n v="29"/>
    <n v="3.2"/>
    <n v="149"/>
    <n v="16.7"/>
    <n v="1289"/>
    <n v="100"/>
  </r>
  <r>
    <x v="39"/>
    <n v="572"/>
    <n v="2"/>
    <n v="0.3"/>
    <n v="2"/>
    <n v="0.3"/>
    <n v="207"/>
    <n v="36.200000000000003"/>
    <n v="119"/>
    <n v="20.9"/>
    <n v="222"/>
    <n v="38.799999999999997"/>
    <n v="1"/>
    <n v="0.2"/>
    <n v="19"/>
    <n v="3.3"/>
    <n v="194"/>
    <n v="33.9"/>
    <n v="11"/>
    <n v="1.9"/>
    <n v="45"/>
    <n v="7.9"/>
    <n v="3006"/>
    <n v="100"/>
  </r>
  <r>
    <x v="40"/>
    <n v="29"/>
    <n v="0"/>
    <n v="0"/>
    <n v="0"/>
    <n v="0"/>
    <n v="4"/>
    <n v="13.8"/>
    <n v="3"/>
    <n v="10.3"/>
    <n v="22"/>
    <n v="75.900000000000006"/>
    <n v="0"/>
    <n v="0"/>
    <n v="0"/>
    <n v="0"/>
    <n v="10"/>
    <n v="34.4"/>
    <n v="3"/>
    <n v="10.3"/>
    <n v="0"/>
    <n v="0"/>
    <n v="312"/>
    <n v="100"/>
  </r>
  <r>
    <x v="41"/>
    <n v="250"/>
    <n v="0"/>
    <n v="0"/>
    <n v="2"/>
    <n v="0.8"/>
    <n v="7"/>
    <n v="2.8"/>
    <n v="190"/>
    <n v="76"/>
    <n v="48"/>
    <n v="19.2"/>
    <n v="0"/>
    <n v="0"/>
    <n v="3"/>
    <n v="1.2"/>
    <n v="59"/>
    <n v="23.6"/>
    <n v="6"/>
    <n v="2.4"/>
    <n v="3"/>
    <n v="1.2"/>
    <n v="1243"/>
    <n v="100"/>
  </r>
  <r>
    <x v="42"/>
    <n v="42"/>
    <n v="4"/>
    <n v="9.5"/>
    <n v="0"/>
    <n v="0"/>
    <n v="3"/>
    <n v="7.2"/>
    <n v="3"/>
    <n v="7.2"/>
    <n v="30"/>
    <n v="71.400000000000006"/>
    <n v="0"/>
    <n v="0"/>
    <n v="2"/>
    <n v="4.7"/>
    <n v="17"/>
    <n v="40.5"/>
    <n v="1"/>
    <n v="2.4"/>
    <n v="0"/>
    <n v="0"/>
    <n v="698"/>
    <n v="100"/>
  </r>
  <r>
    <x v="43"/>
    <n v="124"/>
    <n v="0"/>
    <n v="0"/>
    <n v="1"/>
    <n v="0.8"/>
    <n v="7"/>
    <n v="5.6"/>
    <n v="17"/>
    <n v="13.7"/>
    <n v="94"/>
    <n v="75.8"/>
    <n v="0"/>
    <n v="0"/>
    <n v="5"/>
    <n v="4.0999999999999996"/>
    <n v="19"/>
    <n v="15.3"/>
    <n v="3"/>
    <n v="2.4"/>
    <n v="0"/>
    <n v="0"/>
    <n v="1777"/>
    <n v="100"/>
  </r>
  <r>
    <x v="44"/>
    <n v="325"/>
    <n v="2"/>
    <n v="0.6"/>
    <n v="3"/>
    <n v="0.9"/>
    <n v="160"/>
    <n v="49.3"/>
    <n v="80"/>
    <n v="24.6"/>
    <n v="69"/>
    <n v="21.3"/>
    <n v="0"/>
    <n v="0"/>
    <n v="11"/>
    <n v="3.4"/>
    <n v="69"/>
    <n v="21.2"/>
    <n v="29"/>
    <n v="8.9"/>
    <n v="60"/>
    <n v="18.5"/>
    <n v="8758"/>
    <n v="100"/>
  </r>
  <r>
    <x v="45"/>
    <n v="329"/>
    <n v="15"/>
    <n v="4.5999999999999996"/>
    <n v="1"/>
    <n v="0.3"/>
    <n v="87"/>
    <n v="26.4"/>
    <n v="8"/>
    <n v="2.4"/>
    <n v="201"/>
    <n v="61.1"/>
    <n v="7"/>
    <n v="2.2000000000000002"/>
    <n v="10"/>
    <n v="3.1"/>
    <n v="66"/>
    <n v="20"/>
    <n v="5"/>
    <n v="1.5"/>
    <n v="39"/>
    <n v="11.9"/>
    <n v="1029"/>
    <n v="100"/>
  </r>
  <r>
    <x v="46"/>
    <n v="102"/>
    <n v="0"/>
    <n v="0"/>
    <n v="1"/>
    <n v="1"/>
    <n v="1"/>
    <n v="1"/>
    <n v="5"/>
    <n v="5"/>
    <n v="93"/>
    <n v="91.2"/>
    <n v="0"/>
    <n v="0"/>
    <n v="2"/>
    <n v="1.9"/>
    <n v="27"/>
    <n v="26.5"/>
    <n v="7"/>
    <n v="6.9"/>
    <n v="0"/>
    <n v="0"/>
    <n v="302"/>
    <n v="100"/>
  </r>
  <r>
    <x v="47"/>
    <n v="160"/>
    <n v="0"/>
    <n v="0"/>
    <n v="0"/>
    <n v="0"/>
    <n v="21"/>
    <n v="13.1"/>
    <n v="107"/>
    <n v="66.8"/>
    <n v="27"/>
    <n v="16.899999999999999"/>
    <n v="0"/>
    <n v="0"/>
    <n v="5"/>
    <n v="3.1"/>
    <n v="50"/>
    <n v="31.3"/>
    <n v="1"/>
    <n v="0.6"/>
    <n v="13"/>
    <n v="8.1"/>
    <n v="1982"/>
    <n v="98.4"/>
  </r>
  <r>
    <x v="48"/>
    <n v="346"/>
    <n v="7"/>
    <n v="2"/>
    <n v="5"/>
    <n v="1.5"/>
    <n v="76"/>
    <n v="21.9"/>
    <n v="42"/>
    <n v="12.1"/>
    <n v="190"/>
    <n v="54.9"/>
    <n v="4"/>
    <n v="1.2"/>
    <n v="22"/>
    <n v="6.4"/>
    <n v="98"/>
    <n v="28.3"/>
    <n v="14"/>
    <n v="4"/>
    <n v="35"/>
    <n v="10.1"/>
    <n v="2339"/>
    <n v="100"/>
  </r>
  <r>
    <x v="49"/>
    <n v="39"/>
    <n v="0"/>
    <n v="0"/>
    <n v="0"/>
    <n v="0"/>
    <n v="0"/>
    <n v="0"/>
    <n v="2"/>
    <n v="5.0999999999999996"/>
    <n v="36"/>
    <n v="92.3"/>
    <n v="0"/>
    <n v="0"/>
    <n v="1"/>
    <n v="2.5"/>
    <n v="10"/>
    <n v="25.7"/>
    <n v="0"/>
    <n v="0"/>
    <n v="0"/>
    <n v="0"/>
    <n v="691"/>
    <n v="100"/>
  </r>
  <r>
    <x v="50"/>
    <n v="411"/>
    <n v="4"/>
    <n v="1"/>
    <n v="1"/>
    <n v="0.3"/>
    <n v="48"/>
    <n v="11.7"/>
    <n v="50"/>
    <n v="12.2"/>
    <n v="295"/>
    <n v="71.8"/>
    <n v="1"/>
    <n v="0.3"/>
    <n v="12"/>
    <n v="2.9"/>
    <n v="123"/>
    <n v="29.9"/>
    <n v="2"/>
    <n v="0.5"/>
    <n v="12"/>
    <n v="2.9"/>
    <n v="2235"/>
    <n v="100"/>
  </r>
  <r>
    <x v="51"/>
    <n v="25"/>
    <n v="0"/>
    <n v="0"/>
    <n v="1"/>
    <n v="4"/>
    <n v="0"/>
    <n v="0"/>
    <n v="0"/>
    <n v="0"/>
    <n v="22"/>
    <n v="88"/>
    <n v="0"/>
    <n v="0"/>
    <n v="2"/>
    <n v="8"/>
    <n v="2"/>
    <n v="8"/>
    <n v="2"/>
    <n v="8"/>
    <n v="0"/>
    <n v="0"/>
    <n v="366"/>
    <n v="100"/>
  </r>
  <r>
    <x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08B62-DB1D-4CE5-89BF-D15CC6CAA08C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">
  <location ref="A1:N53" firstHeaderRow="0" firstDataRow="1" firstDataCol="1"/>
  <pivotFields count="24">
    <pivotField axis="axisRow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h="1" x="52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dataField="1" numFmtId="3" showAll="0"/>
    <pivotField numFmtId="3" showAll="0"/>
    <pivotField dataField="1" showAll="0"/>
    <pivotField showAll="0"/>
    <pivotField dataField="1" showAll="0"/>
    <pivotField numFmtId="3" showAll="0"/>
    <pivotField dataField="1" showAll="0"/>
    <pivotField numFmtId="3" showAll="0"/>
    <pivotField dataField="1" showAll="0"/>
    <pivotField numFmtId="3" showAll="0"/>
    <pivotField dataField="1" showAll="0"/>
    <pivotField showAll="0"/>
    <pivotField dataField="1" showAll="0"/>
    <pivotField showAll="0"/>
    <pivotField dataField="1" showAll="0"/>
    <pivotField numFmtId="3" showAll="0"/>
    <pivotField dataField="1" showAll="0"/>
    <pivotField showAll="0"/>
    <pivotField dataField="1" showAll="0"/>
    <pivotField showAll="0"/>
    <pivotField dataField="1" showAll="0"/>
    <pivotField dataField="1" numFmtId="3" showAll="0"/>
    <pivotField dataField="1" showAl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Average of American Indian or Alaska Native%" fld="3" subtotal="average" baseField="0" baseItem="0"/>
    <dataField name="Average of Asian%" fld="5" subtotal="average" baseField="0" baseItem="0"/>
    <dataField name="Average of Hispanic or Latino of any race%" fld="7" subtotal="average" baseField="0" baseItem="0"/>
    <dataField name="Average of Black or African American%" fld="9" subtotal="average" baseField="0" baseItem="0"/>
    <dataField name="Average of White%" fld="11" subtotal="average" baseField="0" baseItem="0"/>
    <dataField name="Average of Native Hawaiian or Other Pacific Islander%" fld="13" subtotal="average" baseField="0" baseItem="0"/>
    <dataField name="Average of Two or More Races%" fld="15" subtotal="average" baseField="0" baseItem="0"/>
    <dataField name="Average of Students With Disabilities Served under IDEA%" fld="17" subtotal="average" baseField="0" baseItem="0"/>
    <dataField name="Average of English Language Learners%" fld="21" subtotal="average" baseField="0" baseItem="0"/>
    <dataField name="Average of Percent of School Reporting%" fld="23" subtotal="average" baseField="0" baseItem="0"/>
    <dataField name="Sum of Total Students" fld="1" baseField="0" baseItem="5"/>
    <dataField name="Sum of Number of Schools" fld="22" baseField="0" baseItem="5"/>
    <dataField name="Average of Students With Disabilities Served Only Under Section 504%" fld="19" subtotal="average" baseField="0" baseItem="4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12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17E35A-EDE5-48C5-8A60-E252005A3C77}" name="Table3" displayName="Table3" ref="A2:X55" totalsRowShown="0" headerRowDxfId="25" dataDxfId="24">
  <autoFilter ref="A2:X55" xr:uid="{7717E35A-EDE5-48C5-8A60-E252005A3C77}"/>
  <tableColumns count="24">
    <tableColumn id="1" xr3:uid="{D1A21DF1-03D3-4FCA-B875-93024456987A}" name="State" dataDxfId="23"/>
    <tableColumn id="2" xr3:uid="{3885131F-2217-4F2C-A5D2-B5712CEED0C5}" name="Total Students" dataDxfId="22"/>
    <tableColumn id="3" xr3:uid="{D28E07BF-B04F-4100-AC12-3798E9A602A7}" name="American Indian or Alaska Native" dataDxfId="21"/>
    <tableColumn id="4" xr3:uid="{3A1963DA-8CF2-445D-99B0-63B7CA985EA4}" name="American Indian or Alaska Native%" dataDxfId="20"/>
    <tableColumn id="5" xr3:uid="{36ED032A-9C41-4FFA-9DD8-6D343821E711}" name="Asian" dataDxfId="19"/>
    <tableColumn id="6" xr3:uid="{1230C4C2-E789-4812-AA99-B3DEA12D93AB}" name="Asian%" dataDxfId="18"/>
    <tableColumn id="7" xr3:uid="{158296AC-236D-4606-BD54-439198FAC4EC}" name="Hispanic or Latino of any race" dataDxfId="17"/>
    <tableColumn id="8" xr3:uid="{E529FD9F-3BF9-4E75-B832-584F8F1788FE}" name="Hispanic or Latino of any race%" dataDxfId="16"/>
    <tableColumn id="9" xr3:uid="{C96EE39F-A4FF-4C46-9953-8A9E7CD97FB7}" name="Black or African American" dataDxfId="15"/>
    <tableColumn id="10" xr3:uid="{E6B6E601-2B5E-4064-9D85-B0282BFF1C1F}" name="Black or African American%" dataDxfId="14"/>
    <tableColumn id="11" xr3:uid="{54E7D21E-BB4B-4D01-B73A-FBFEF665E122}" name="White" dataDxfId="13"/>
    <tableColumn id="12" xr3:uid="{6F512912-B2D8-4319-9932-55E9BA59FB30}" name="White%" dataDxfId="12"/>
    <tableColumn id="13" xr3:uid="{DA7DC8B6-F39C-48A6-ACD9-F78336C63BFB}" name="Native Hawaiian or Other Pacific Islander" dataDxfId="11"/>
    <tableColumn id="14" xr3:uid="{32546088-CC82-4EC3-854F-C40703925903}" name="Native Hawaiian or Other Pacific Islander%" dataDxfId="10"/>
    <tableColumn id="15" xr3:uid="{A72E1CD6-74F1-46E1-911E-ECFB10478A10}" name="Two or more races" dataDxfId="9"/>
    <tableColumn id="16" xr3:uid="{CF80B289-4B2A-436E-844E-699980FC3D62}" name="Two or More Races%" dataDxfId="8"/>
    <tableColumn id="17" xr3:uid="{D2209FB0-60CA-49E5-A6B2-2E8B886CA0E9}" name="Students With Disabilities Served Under IDEA" dataDxfId="7"/>
    <tableColumn id="18" xr3:uid="{7152706B-B5D8-4D3B-B9AE-555DA92E9E2B}" name="Students With Disabilities Served under IDEA%" dataDxfId="6"/>
    <tableColumn id="19" xr3:uid="{2FD2CD1D-F676-4C54-BE1D-616D2420DA40}" name="Students With Disabilities Served Only Under Section 504" dataDxfId="5"/>
    <tableColumn id="20" xr3:uid="{4DC50A23-5546-4DE9-A574-B2053CDBF365}" name="Students With Disabilities Served Only Under Section 504%" dataDxfId="4"/>
    <tableColumn id="21" xr3:uid="{B2F7DFCD-72AF-4A22-B7E1-47ADD6CE67A9}" name="English Language Learners" dataDxfId="3"/>
    <tableColumn id="22" xr3:uid="{C5B63CA1-103E-41DA-9D1B-8581755B9A1D}" name="English Language Learners%" dataDxfId="2"/>
    <tableColumn id="23" xr3:uid="{D721B4E0-D142-493C-9109-E35348729E48}" name="Number of Schools" dataDxfId="1"/>
    <tableColumn id="24" xr3:uid="{4EC33E63-33D6-4D6E-A3BE-73531B283DE8}" name="Percent of School Reporting%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3E07-F7F3-4C41-AE34-4B5FE4C4D164}">
  <dimension ref="A1"/>
  <sheetViews>
    <sheetView workbookViewId="0">
      <selection activeCell="D13" sqref="D13"/>
    </sheetView>
  </sheetViews>
  <sheetFormatPr defaultColWidth="3.33203125" defaultRowHeight="20" customHeight="1" x14ac:dyDescent="0.3"/>
  <cols>
    <col min="1" max="16384" width="3.33203125" style="107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65"/>
  <sheetViews>
    <sheetView showGridLines="0" zoomScale="51" zoomScaleNormal="51" workbookViewId="0">
      <selection activeCell="E73" sqref="E73"/>
    </sheetView>
  </sheetViews>
  <sheetFormatPr defaultColWidth="12.109375" defaultRowHeight="15" customHeight="1" x14ac:dyDescent="0.3"/>
  <cols>
    <col min="1" max="1" width="16" style="10" customWidth="1"/>
    <col min="2" max="2" width="56.109375" style="1" customWidth="1"/>
    <col min="3" max="21" width="15" style="1" customWidth="1"/>
    <col min="22" max="22" width="15" style="5" customWidth="1"/>
    <col min="23" max="23" width="15" style="6" customWidth="1"/>
    <col min="24" max="25" width="15" style="1" customWidth="1"/>
    <col min="26" max="16384" width="12.109375" style="7"/>
  </cols>
  <sheetData>
    <row r="2" spans="1:25" s="2" customFormat="1" ht="15" customHeight="1" x14ac:dyDescent="0.4">
      <c r="A2" s="9"/>
      <c r="B2" s="90" t="str">
        <f>CONCATENATE("Number and percentage of public school students ", LOWER(A7), ", by race/ethnicity, disability status, and English proficiency, by state: School Year 2017-18")</f>
        <v>Number and percentage of public school students disciplined for engaging in harassment or bullying on the basis of disability, by race/ethnicity, disability status, and English proficiency, by state: School Year 2017-18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</row>
    <row r="3" spans="1:25" s="1" customFormat="1" ht="15" customHeight="1" thickBot="1" x14ac:dyDescent="0.35">
      <c r="A3" s="8"/>
      <c r="B3" s="3"/>
      <c r="C3" s="4"/>
      <c r="D3" s="4"/>
      <c r="E3" s="70"/>
      <c r="F3" s="4"/>
      <c r="G3" s="70"/>
      <c r="H3" s="4"/>
      <c r="I3" s="7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  <c r="X3" s="4"/>
      <c r="Y3" s="4"/>
    </row>
    <row r="4" spans="1:25" s="12" customFormat="1" ht="25" customHeight="1" x14ac:dyDescent="0.25">
      <c r="A4" s="11"/>
      <c r="B4" s="102" t="s">
        <v>0</v>
      </c>
      <c r="C4" s="104" t="s">
        <v>1</v>
      </c>
      <c r="D4" s="83" t="s">
        <v>74</v>
      </c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5"/>
      <c r="R4" s="86" t="s">
        <v>2</v>
      </c>
      <c r="S4" s="87"/>
      <c r="T4" s="86" t="s">
        <v>3</v>
      </c>
      <c r="U4" s="87"/>
      <c r="V4" s="86" t="s">
        <v>4</v>
      </c>
      <c r="W4" s="87"/>
      <c r="X4" s="93" t="s">
        <v>5</v>
      </c>
      <c r="Y4" s="95" t="s">
        <v>6</v>
      </c>
    </row>
    <row r="5" spans="1:25" s="12" customFormat="1" ht="25" customHeight="1" x14ac:dyDescent="0.3">
      <c r="A5" s="11"/>
      <c r="B5" s="103"/>
      <c r="C5" s="105"/>
      <c r="D5" s="97" t="s">
        <v>7</v>
      </c>
      <c r="E5" s="98"/>
      <c r="F5" s="99" t="s">
        <v>8</v>
      </c>
      <c r="G5" s="98"/>
      <c r="H5" s="100" t="s">
        <v>9</v>
      </c>
      <c r="I5" s="98"/>
      <c r="J5" s="100" t="s">
        <v>10</v>
      </c>
      <c r="K5" s="98"/>
      <c r="L5" s="100" t="s">
        <v>11</v>
      </c>
      <c r="M5" s="98"/>
      <c r="N5" s="100" t="s">
        <v>12</v>
      </c>
      <c r="O5" s="98"/>
      <c r="P5" s="100" t="s">
        <v>13</v>
      </c>
      <c r="Q5" s="101"/>
      <c r="R5" s="88"/>
      <c r="S5" s="89"/>
      <c r="T5" s="88"/>
      <c r="U5" s="89"/>
      <c r="V5" s="88"/>
      <c r="W5" s="89"/>
      <c r="X5" s="94"/>
      <c r="Y5" s="96"/>
    </row>
    <row r="6" spans="1:25" s="12" customFormat="1" ht="15" customHeight="1" thickBot="1" x14ac:dyDescent="0.35">
      <c r="A6" s="11"/>
      <c r="B6" s="13"/>
      <c r="C6" s="52"/>
      <c r="D6" s="14" t="s">
        <v>14</v>
      </c>
      <c r="E6" s="15" t="s">
        <v>15</v>
      </c>
      <c r="F6" s="16" t="s">
        <v>14</v>
      </c>
      <c r="G6" s="15" t="s">
        <v>15</v>
      </c>
      <c r="H6" s="16" t="s">
        <v>14</v>
      </c>
      <c r="I6" s="15" t="s">
        <v>15</v>
      </c>
      <c r="J6" s="16" t="s">
        <v>14</v>
      </c>
      <c r="K6" s="15" t="s">
        <v>15</v>
      </c>
      <c r="L6" s="16" t="s">
        <v>14</v>
      </c>
      <c r="M6" s="15" t="s">
        <v>15</v>
      </c>
      <c r="N6" s="16" t="s">
        <v>14</v>
      </c>
      <c r="O6" s="15" t="s">
        <v>15</v>
      </c>
      <c r="P6" s="16" t="s">
        <v>14</v>
      </c>
      <c r="Q6" s="17" t="s">
        <v>15</v>
      </c>
      <c r="R6" s="14" t="s">
        <v>14</v>
      </c>
      <c r="S6" s="18" t="s">
        <v>75</v>
      </c>
      <c r="T6" s="14" t="s">
        <v>14</v>
      </c>
      <c r="U6" s="18" t="s">
        <v>75</v>
      </c>
      <c r="V6" s="16" t="s">
        <v>14</v>
      </c>
      <c r="W6" s="18" t="s">
        <v>16</v>
      </c>
      <c r="X6" s="19"/>
      <c r="Y6" s="20"/>
    </row>
    <row r="7" spans="1:25" s="32" customFormat="1" ht="15" customHeight="1" x14ac:dyDescent="0.25">
      <c r="A7" s="21" t="s">
        <v>17</v>
      </c>
      <c r="B7" s="59" t="s">
        <v>72</v>
      </c>
      <c r="C7" s="22">
        <v>12214</v>
      </c>
      <c r="D7" s="23">
        <v>198</v>
      </c>
      <c r="E7" s="24">
        <v>1.6211</v>
      </c>
      <c r="F7" s="25">
        <v>191</v>
      </c>
      <c r="G7" s="24">
        <v>1.5638000000000001</v>
      </c>
      <c r="H7" s="25">
        <v>2669</v>
      </c>
      <c r="I7" s="24">
        <v>21.852</v>
      </c>
      <c r="J7" s="25">
        <v>2670</v>
      </c>
      <c r="K7" s="24">
        <v>21.860199999999999</v>
      </c>
      <c r="L7" s="25">
        <v>5944</v>
      </c>
      <c r="M7" s="24">
        <v>48.665500000000002</v>
      </c>
      <c r="N7" s="25">
        <v>71</v>
      </c>
      <c r="O7" s="24">
        <v>0.58130000000000004</v>
      </c>
      <c r="P7" s="26">
        <v>471</v>
      </c>
      <c r="Q7" s="27">
        <v>3.8561999999999999</v>
      </c>
      <c r="R7" s="28">
        <v>2931</v>
      </c>
      <c r="S7" s="27">
        <v>23.9971</v>
      </c>
      <c r="T7" s="28">
        <v>385</v>
      </c>
      <c r="U7" s="27">
        <v>3.1520999999999999</v>
      </c>
      <c r="V7" s="28">
        <v>882</v>
      </c>
      <c r="W7" s="29">
        <v>7.2211999999999996</v>
      </c>
      <c r="X7" s="30">
        <v>97632</v>
      </c>
      <c r="Y7" s="31">
        <v>99.204999999999998</v>
      </c>
    </row>
    <row r="8" spans="1:25" s="32" customFormat="1" ht="15" customHeight="1" x14ac:dyDescent="0.25">
      <c r="A8" s="21" t="s">
        <v>18</v>
      </c>
      <c r="B8" s="33" t="s">
        <v>19</v>
      </c>
      <c r="C8" s="34">
        <v>105</v>
      </c>
      <c r="D8" s="35">
        <v>0</v>
      </c>
      <c r="E8" s="36">
        <v>0</v>
      </c>
      <c r="F8" s="45">
        <v>2</v>
      </c>
      <c r="G8" s="36">
        <v>1.9048</v>
      </c>
      <c r="H8" s="37">
        <v>3</v>
      </c>
      <c r="I8" s="36">
        <v>2.8571</v>
      </c>
      <c r="J8" s="37">
        <v>50</v>
      </c>
      <c r="K8" s="36">
        <v>47.619</v>
      </c>
      <c r="L8" s="37">
        <v>47</v>
      </c>
      <c r="M8" s="36">
        <v>44.761899999999997</v>
      </c>
      <c r="N8" s="37">
        <v>0</v>
      </c>
      <c r="O8" s="36">
        <v>0</v>
      </c>
      <c r="P8" s="48">
        <v>3</v>
      </c>
      <c r="Q8" s="38">
        <v>2.8571</v>
      </c>
      <c r="R8" s="35">
        <v>18</v>
      </c>
      <c r="S8" s="38">
        <v>17.142900000000001</v>
      </c>
      <c r="T8" s="46">
        <v>2</v>
      </c>
      <c r="U8" s="38">
        <v>1.9048</v>
      </c>
      <c r="V8" s="35">
        <v>0</v>
      </c>
      <c r="W8" s="39">
        <v>0</v>
      </c>
      <c r="X8" s="40">
        <v>1390</v>
      </c>
      <c r="Y8" s="41">
        <v>94.028999999999996</v>
      </c>
    </row>
    <row r="9" spans="1:25" s="32" customFormat="1" ht="15" customHeight="1" x14ac:dyDescent="0.25">
      <c r="A9" s="21" t="s">
        <v>18</v>
      </c>
      <c r="B9" s="42" t="s">
        <v>20</v>
      </c>
      <c r="C9" s="22">
        <v>38</v>
      </c>
      <c r="D9" s="23">
        <v>14</v>
      </c>
      <c r="E9" s="24">
        <v>36.842100000000002</v>
      </c>
      <c r="F9" s="43">
        <v>9</v>
      </c>
      <c r="G9" s="24">
        <v>23.684200000000001</v>
      </c>
      <c r="H9" s="25">
        <v>12</v>
      </c>
      <c r="I9" s="24">
        <v>31.578900000000001</v>
      </c>
      <c r="J9" s="43">
        <v>1</v>
      </c>
      <c r="K9" s="24">
        <v>2.6316000000000002</v>
      </c>
      <c r="L9" s="25">
        <v>0</v>
      </c>
      <c r="M9" s="24">
        <v>0</v>
      </c>
      <c r="N9" s="25">
        <v>2</v>
      </c>
      <c r="O9" s="24">
        <v>5.2632000000000003</v>
      </c>
      <c r="P9" s="47">
        <v>0</v>
      </c>
      <c r="Q9" s="27">
        <v>0</v>
      </c>
      <c r="R9" s="23">
        <v>2</v>
      </c>
      <c r="S9" s="27">
        <v>5.2632000000000003</v>
      </c>
      <c r="T9" s="44">
        <v>1</v>
      </c>
      <c r="U9" s="27">
        <v>2.6316000000000002</v>
      </c>
      <c r="V9" s="23">
        <v>5</v>
      </c>
      <c r="W9" s="29">
        <v>13.1579</v>
      </c>
      <c r="X9" s="30">
        <v>506</v>
      </c>
      <c r="Y9" s="31">
        <v>100</v>
      </c>
    </row>
    <row r="10" spans="1:25" s="32" customFormat="1" ht="15" customHeight="1" x14ac:dyDescent="0.25">
      <c r="A10" s="21" t="s">
        <v>18</v>
      </c>
      <c r="B10" s="33" t="s">
        <v>21</v>
      </c>
      <c r="C10" s="34">
        <v>369</v>
      </c>
      <c r="D10" s="35">
        <v>24</v>
      </c>
      <c r="E10" s="36">
        <v>6.5041000000000002</v>
      </c>
      <c r="F10" s="45">
        <v>2</v>
      </c>
      <c r="G10" s="36">
        <v>0.54200000000000004</v>
      </c>
      <c r="H10" s="37">
        <v>142</v>
      </c>
      <c r="I10" s="36">
        <v>38.482399999999998</v>
      </c>
      <c r="J10" s="37">
        <v>50</v>
      </c>
      <c r="K10" s="36">
        <v>13.5501</v>
      </c>
      <c r="L10" s="37">
        <v>143</v>
      </c>
      <c r="M10" s="36">
        <v>38.753399999999999</v>
      </c>
      <c r="N10" s="37">
        <v>1</v>
      </c>
      <c r="O10" s="36">
        <v>0.27100000000000002</v>
      </c>
      <c r="P10" s="48">
        <v>7</v>
      </c>
      <c r="Q10" s="38">
        <v>1.897</v>
      </c>
      <c r="R10" s="35">
        <v>61</v>
      </c>
      <c r="S10" s="38">
        <v>16.531199999999998</v>
      </c>
      <c r="T10" s="46">
        <v>12</v>
      </c>
      <c r="U10" s="38">
        <v>3.2519999999999998</v>
      </c>
      <c r="V10" s="35">
        <v>11</v>
      </c>
      <c r="W10" s="39">
        <v>2.9809999999999999</v>
      </c>
      <c r="X10" s="40">
        <v>2000</v>
      </c>
      <c r="Y10" s="41">
        <v>99.95</v>
      </c>
    </row>
    <row r="11" spans="1:25" s="32" customFormat="1" ht="15" customHeight="1" x14ac:dyDescent="0.25">
      <c r="A11" s="21" t="s">
        <v>18</v>
      </c>
      <c r="B11" s="42" t="s">
        <v>22</v>
      </c>
      <c r="C11" s="22">
        <v>97</v>
      </c>
      <c r="D11" s="23">
        <v>0</v>
      </c>
      <c r="E11" s="24">
        <v>0</v>
      </c>
      <c r="F11" s="43">
        <v>0</v>
      </c>
      <c r="G11" s="24">
        <v>0</v>
      </c>
      <c r="H11" s="25">
        <v>6</v>
      </c>
      <c r="I11" s="24">
        <v>6.1856</v>
      </c>
      <c r="J11" s="43">
        <v>26</v>
      </c>
      <c r="K11" s="24">
        <v>26.804099999999998</v>
      </c>
      <c r="L11" s="25">
        <v>61</v>
      </c>
      <c r="M11" s="24">
        <v>62.886600000000001</v>
      </c>
      <c r="N11" s="25">
        <v>0</v>
      </c>
      <c r="O11" s="24">
        <v>0</v>
      </c>
      <c r="P11" s="47">
        <v>4</v>
      </c>
      <c r="Q11" s="27">
        <v>4.1237000000000004</v>
      </c>
      <c r="R11" s="23">
        <v>24</v>
      </c>
      <c r="S11" s="27">
        <v>24.7423</v>
      </c>
      <c r="T11" s="44">
        <v>3</v>
      </c>
      <c r="U11" s="27">
        <v>3.0928</v>
      </c>
      <c r="V11" s="23">
        <v>4</v>
      </c>
      <c r="W11" s="29">
        <v>4.1237000000000004</v>
      </c>
      <c r="X11" s="30">
        <v>1088</v>
      </c>
      <c r="Y11" s="31">
        <v>100</v>
      </c>
    </row>
    <row r="12" spans="1:25" s="32" customFormat="1" ht="15" customHeight="1" x14ac:dyDescent="0.25">
      <c r="A12" s="21" t="s">
        <v>18</v>
      </c>
      <c r="B12" s="33" t="s">
        <v>23</v>
      </c>
      <c r="C12" s="34">
        <v>1356</v>
      </c>
      <c r="D12" s="35">
        <v>17</v>
      </c>
      <c r="E12" s="36">
        <v>1.2537</v>
      </c>
      <c r="F12" s="45">
        <v>38</v>
      </c>
      <c r="G12" s="36">
        <v>2.8024</v>
      </c>
      <c r="H12" s="37">
        <v>709</v>
      </c>
      <c r="I12" s="36">
        <v>52.286099999999998</v>
      </c>
      <c r="J12" s="37">
        <v>210</v>
      </c>
      <c r="K12" s="36">
        <v>15.486700000000001</v>
      </c>
      <c r="L12" s="37">
        <v>318</v>
      </c>
      <c r="M12" s="36">
        <v>23.4513</v>
      </c>
      <c r="N12" s="37">
        <v>8</v>
      </c>
      <c r="O12" s="36">
        <v>0.59</v>
      </c>
      <c r="P12" s="48">
        <v>56</v>
      </c>
      <c r="Q12" s="38">
        <v>4.1298000000000004</v>
      </c>
      <c r="R12" s="35">
        <v>246</v>
      </c>
      <c r="S12" s="38">
        <v>18.1416</v>
      </c>
      <c r="T12" s="46">
        <v>27</v>
      </c>
      <c r="U12" s="38">
        <v>1.9912000000000001</v>
      </c>
      <c r="V12" s="35">
        <v>239</v>
      </c>
      <c r="W12" s="39">
        <v>17.625399999999999</v>
      </c>
      <c r="X12" s="40">
        <v>10121</v>
      </c>
      <c r="Y12" s="41">
        <v>99.239000000000004</v>
      </c>
    </row>
    <row r="13" spans="1:25" s="32" customFormat="1" ht="15" customHeight="1" x14ac:dyDescent="0.25">
      <c r="A13" s="21" t="s">
        <v>18</v>
      </c>
      <c r="B13" s="42" t="s">
        <v>24</v>
      </c>
      <c r="C13" s="22">
        <v>53</v>
      </c>
      <c r="D13" s="23">
        <v>0</v>
      </c>
      <c r="E13" s="24">
        <v>0</v>
      </c>
      <c r="F13" s="43">
        <v>0</v>
      </c>
      <c r="G13" s="24">
        <v>0</v>
      </c>
      <c r="H13" s="25">
        <v>15</v>
      </c>
      <c r="I13" s="24">
        <v>28.3019</v>
      </c>
      <c r="J13" s="43">
        <v>1</v>
      </c>
      <c r="K13" s="24">
        <v>1.8868</v>
      </c>
      <c r="L13" s="25">
        <v>35</v>
      </c>
      <c r="M13" s="24">
        <v>66.037700000000001</v>
      </c>
      <c r="N13" s="25">
        <v>0</v>
      </c>
      <c r="O13" s="24">
        <v>0</v>
      </c>
      <c r="P13" s="47">
        <v>2</v>
      </c>
      <c r="Q13" s="27">
        <v>3.7736000000000001</v>
      </c>
      <c r="R13" s="23">
        <v>9</v>
      </c>
      <c r="S13" s="27">
        <v>16.981100000000001</v>
      </c>
      <c r="T13" s="44">
        <v>2</v>
      </c>
      <c r="U13" s="27">
        <v>3.7736000000000001</v>
      </c>
      <c r="V13" s="23">
        <v>4</v>
      </c>
      <c r="W13" s="29">
        <v>7.5472000000000001</v>
      </c>
      <c r="X13" s="30">
        <v>1908</v>
      </c>
      <c r="Y13" s="31">
        <v>100</v>
      </c>
    </row>
    <row r="14" spans="1:25" s="32" customFormat="1" ht="15" customHeight="1" x14ac:dyDescent="0.25">
      <c r="A14" s="21" t="s">
        <v>18</v>
      </c>
      <c r="B14" s="33" t="s">
        <v>25</v>
      </c>
      <c r="C14" s="34">
        <v>88</v>
      </c>
      <c r="D14" s="35">
        <v>0</v>
      </c>
      <c r="E14" s="36">
        <v>0</v>
      </c>
      <c r="F14" s="45">
        <v>2</v>
      </c>
      <c r="G14" s="36">
        <v>2.2726999999999999</v>
      </c>
      <c r="H14" s="37">
        <v>28</v>
      </c>
      <c r="I14" s="36">
        <v>31.818200000000001</v>
      </c>
      <c r="J14" s="37">
        <v>7</v>
      </c>
      <c r="K14" s="36">
        <v>7.9545000000000003</v>
      </c>
      <c r="L14" s="37">
        <v>50</v>
      </c>
      <c r="M14" s="36">
        <v>56.818199999999997</v>
      </c>
      <c r="N14" s="37">
        <v>0</v>
      </c>
      <c r="O14" s="36">
        <v>0</v>
      </c>
      <c r="P14" s="48">
        <v>1</v>
      </c>
      <c r="Q14" s="38">
        <v>1.1364000000000001</v>
      </c>
      <c r="R14" s="35">
        <v>28</v>
      </c>
      <c r="S14" s="38">
        <v>31.818200000000001</v>
      </c>
      <c r="T14" s="46">
        <v>9</v>
      </c>
      <c r="U14" s="38">
        <v>10.2273</v>
      </c>
      <c r="V14" s="35">
        <v>1</v>
      </c>
      <c r="W14" s="39">
        <v>1.1364000000000001</v>
      </c>
      <c r="X14" s="40">
        <v>1214</v>
      </c>
      <c r="Y14" s="41">
        <v>100</v>
      </c>
    </row>
    <row r="15" spans="1:25" s="32" customFormat="1" ht="15" customHeight="1" x14ac:dyDescent="0.25">
      <c r="A15" s="21" t="s">
        <v>18</v>
      </c>
      <c r="B15" s="42" t="s">
        <v>26</v>
      </c>
      <c r="C15" s="22">
        <v>7</v>
      </c>
      <c r="D15" s="23">
        <v>0</v>
      </c>
      <c r="E15" s="24">
        <v>0</v>
      </c>
      <c r="F15" s="43">
        <v>0</v>
      </c>
      <c r="G15" s="24">
        <v>0</v>
      </c>
      <c r="H15" s="25">
        <v>0</v>
      </c>
      <c r="I15" s="24">
        <v>0</v>
      </c>
      <c r="J15" s="43">
        <v>1</v>
      </c>
      <c r="K15" s="24">
        <v>14.2857</v>
      </c>
      <c r="L15" s="25">
        <v>6</v>
      </c>
      <c r="M15" s="24">
        <v>85.714299999999994</v>
      </c>
      <c r="N15" s="25">
        <v>0</v>
      </c>
      <c r="O15" s="24">
        <v>0</v>
      </c>
      <c r="P15" s="47">
        <v>0</v>
      </c>
      <c r="Q15" s="27">
        <v>0</v>
      </c>
      <c r="R15" s="23">
        <v>2</v>
      </c>
      <c r="S15" s="27">
        <v>28.571400000000001</v>
      </c>
      <c r="T15" s="44">
        <v>0</v>
      </c>
      <c r="U15" s="27">
        <v>0</v>
      </c>
      <c r="V15" s="23">
        <v>0</v>
      </c>
      <c r="W15" s="29">
        <v>0</v>
      </c>
      <c r="X15" s="30">
        <v>231</v>
      </c>
      <c r="Y15" s="31">
        <v>100</v>
      </c>
    </row>
    <row r="16" spans="1:25" s="32" customFormat="1" ht="15" customHeight="1" x14ac:dyDescent="0.25">
      <c r="A16" s="21" t="s">
        <v>18</v>
      </c>
      <c r="B16" s="33" t="s">
        <v>27</v>
      </c>
      <c r="C16" s="34">
        <v>6</v>
      </c>
      <c r="D16" s="35">
        <v>0</v>
      </c>
      <c r="E16" s="36">
        <v>0</v>
      </c>
      <c r="F16" s="45">
        <v>0</v>
      </c>
      <c r="G16" s="36">
        <v>0</v>
      </c>
      <c r="H16" s="37">
        <v>1</v>
      </c>
      <c r="I16" s="36">
        <v>16.666699999999999</v>
      </c>
      <c r="J16" s="37">
        <v>4</v>
      </c>
      <c r="K16" s="36">
        <v>66.666700000000006</v>
      </c>
      <c r="L16" s="37">
        <v>1</v>
      </c>
      <c r="M16" s="36">
        <v>16.666699999999999</v>
      </c>
      <c r="N16" s="37">
        <v>0</v>
      </c>
      <c r="O16" s="36">
        <v>0</v>
      </c>
      <c r="P16" s="48">
        <v>0</v>
      </c>
      <c r="Q16" s="38">
        <v>0</v>
      </c>
      <c r="R16" s="35">
        <v>0</v>
      </c>
      <c r="S16" s="38">
        <v>0</v>
      </c>
      <c r="T16" s="46">
        <v>0</v>
      </c>
      <c r="U16" s="38">
        <v>0</v>
      </c>
      <c r="V16" s="35">
        <v>1</v>
      </c>
      <c r="W16" s="39">
        <v>16.666699999999999</v>
      </c>
      <c r="X16" s="40">
        <v>228</v>
      </c>
      <c r="Y16" s="41">
        <v>99.561000000000007</v>
      </c>
    </row>
    <row r="17" spans="1:25" s="32" customFormat="1" ht="15" customHeight="1" x14ac:dyDescent="0.25">
      <c r="A17" s="21" t="s">
        <v>18</v>
      </c>
      <c r="B17" s="42" t="s">
        <v>28</v>
      </c>
      <c r="C17" s="22">
        <v>203</v>
      </c>
      <c r="D17" s="23">
        <v>0</v>
      </c>
      <c r="E17" s="24">
        <v>0</v>
      </c>
      <c r="F17" s="43">
        <v>1</v>
      </c>
      <c r="G17" s="24">
        <v>0.49259999999999998</v>
      </c>
      <c r="H17" s="25">
        <v>45</v>
      </c>
      <c r="I17" s="24">
        <v>22.1675</v>
      </c>
      <c r="J17" s="43">
        <v>76</v>
      </c>
      <c r="K17" s="24">
        <v>37.438400000000001</v>
      </c>
      <c r="L17" s="25">
        <v>70</v>
      </c>
      <c r="M17" s="24">
        <v>34.482799999999997</v>
      </c>
      <c r="N17" s="25">
        <v>0</v>
      </c>
      <c r="O17" s="24">
        <v>0</v>
      </c>
      <c r="P17" s="47">
        <v>11</v>
      </c>
      <c r="Q17" s="27">
        <v>5.4187000000000003</v>
      </c>
      <c r="R17" s="23">
        <v>76</v>
      </c>
      <c r="S17" s="27">
        <v>37.438400000000001</v>
      </c>
      <c r="T17" s="44">
        <v>17</v>
      </c>
      <c r="U17" s="27">
        <v>8.3743999999999996</v>
      </c>
      <c r="V17" s="23">
        <v>7</v>
      </c>
      <c r="W17" s="29">
        <v>3.4483000000000001</v>
      </c>
      <c r="X17" s="30">
        <v>3976</v>
      </c>
      <c r="Y17" s="31">
        <v>100</v>
      </c>
    </row>
    <row r="18" spans="1:25" s="32" customFormat="1" ht="15" customHeight="1" x14ac:dyDescent="0.25">
      <c r="A18" s="21" t="s">
        <v>18</v>
      </c>
      <c r="B18" s="33" t="s">
        <v>29</v>
      </c>
      <c r="C18" s="34">
        <v>159</v>
      </c>
      <c r="D18" s="35">
        <v>0</v>
      </c>
      <c r="E18" s="36">
        <v>0</v>
      </c>
      <c r="F18" s="45">
        <v>0</v>
      </c>
      <c r="G18" s="36">
        <v>0</v>
      </c>
      <c r="H18" s="37">
        <v>17</v>
      </c>
      <c r="I18" s="36">
        <v>10.691800000000001</v>
      </c>
      <c r="J18" s="37">
        <v>91</v>
      </c>
      <c r="K18" s="36">
        <v>57.232700000000001</v>
      </c>
      <c r="L18" s="37">
        <v>45</v>
      </c>
      <c r="M18" s="36">
        <v>28.3019</v>
      </c>
      <c r="N18" s="37">
        <v>0</v>
      </c>
      <c r="O18" s="36">
        <v>0</v>
      </c>
      <c r="P18" s="48">
        <v>6</v>
      </c>
      <c r="Q18" s="38">
        <v>3.7736000000000001</v>
      </c>
      <c r="R18" s="35">
        <v>40</v>
      </c>
      <c r="S18" s="38">
        <v>25.1572</v>
      </c>
      <c r="T18" s="46">
        <v>4</v>
      </c>
      <c r="U18" s="38">
        <v>2.5156999999999998</v>
      </c>
      <c r="V18" s="35">
        <v>4</v>
      </c>
      <c r="W18" s="39">
        <v>2.5156999999999998</v>
      </c>
      <c r="X18" s="40">
        <v>2416</v>
      </c>
      <c r="Y18" s="41">
        <v>100</v>
      </c>
    </row>
    <row r="19" spans="1:25" s="32" customFormat="1" ht="15" customHeight="1" x14ac:dyDescent="0.25">
      <c r="A19" s="21" t="s">
        <v>18</v>
      </c>
      <c r="B19" s="42" t="s">
        <v>30</v>
      </c>
      <c r="C19" s="22">
        <v>34</v>
      </c>
      <c r="D19" s="23">
        <v>0</v>
      </c>
      <c r="E19" s="24">
        <v>0</v>
      </c>
      <c r="F19" s="43">
        <v>5</v>
      </c>
      <c r="G19" s="24">
        <v>14.7059</v>
      </c>
      <c r="H19" s="25">
        <v>5</v>
      </c>
      <c r="I19" s="24">
        <v>14.7059</v>
      </c>
      <c r="J19" s="43">
        <v>0</v>
      </c>
      <c r="K19" s="24">
        <v>0</v>
      </c>
      <c r="L19" s="25">
        <v>1</v>
      </c>
      <c r="M19" s="24">
        <v>2.9411999999999998</v>
      </c>
      <c r="N19" s="25">
        <v>19</v>
      </c>
      <c r="O19" s="24">
        <v>55.882399999999997</v>
      </c>
      <c r="P19" s="47">
        <v>4</v>
      </c>
      <c r="Q19" s="27">
        <v>11.764699999999999</v>
      </c>
      <c r="R19" s="23">
        <v>23</v>
      </c>
      <c r="S19" s="27">
        <v>67.647099999999995</v>
      </c>
      <c r="T19" s="44">
        <v>23</v>
      </c>
      <c r="U19" s="27">
        <v>67.647099999999995</v>
      </c>
      <c r="V19" s="23">
        <v>23</v>
      </c>
      <c r="W19" s="29">
        <v>67.647099999999995</v>
      </c>
      <c r="X19" s="30">
        <v>292</v>
      </c>
      <c r="Y19" s="31">
        <v>100</v>
      </c>
    </row>
    <row r="20" spans="1:25" s="32" customFormat="1" ht="15" customHeight="1" x14ac:dyDescent="0.25">
      <c r="A20" s="21" t="s">
        <v>18</v>
      </c>
      <c r="B20" s="33" t="s">
        <v>31</v>
      </c>
      <c r="C20" s="34">
        <v>82</v>
      </c>
      <c r="D20" s="35">
        <v>7</v>
      </c>
      <c r="E20" s="36">
        <v>8.5366</v>
      </c>
      <c r="F20" s="45">
        <v>0</v>
      </c>
      <c r="G20" s="36">
        <v>0</v>
      </c>
      <c r="H20" s="37">
        <v>20</v>
      </c>
      <c r="I20" s="36">
        <v>24.3902</v>
      </c>
      <c r="J20" s="37">
        <v>0</v>
      </c>
      <c r="K20" s="36">
        <v>0</v>
      </c>
      <c r="L20" s="37">
        <v>55</v>
      </c>
      <c r="M20" s="36">
        <v>67.0732</v>
      </c>
      <c r="N20" s="37">
        <v>0</v>
      </c>
      <c r="O20" s="36">
        <v>0</v>
      </c>
      <c r="P20" s="48">
        <v>0</v>
      </c>
      <c r="Q20" s="38">
        <v>0</v>
      </c>
      <c r="R20" s="35">
        <v>13</v>
      </c>
      <c r="S20" s="38">
        <v>15.8537</v>
      </c>
      <c r="T20" s="46">
        <v>2</v>
      </c>
      <c r="U20" s="38">
        <v>2.4390000000000001</v>
      </c>
      <c r="V20" s="35">
        <v>2</v>
      </c>
      <c r="W20" s="39">
        <v>2.4390000000000001</v>
      </c>
      <c r="X20" s="40">
        <v>725</v>
      </c>
      <c r="Y20" s="41">
        <v>100</v>
      </c>
    </row>
    <row r="21" spans="1:25" s="32" customFormat="1" ht="15" customHeight="1" x14ac:dyDescent="0.25">
      <c r="A21" s="21" t="s">
        <v>18</v>
      </c>
      <c r="B21" s="42" t="s">
        <v>32</v>
      </c>
      <c r="C21" s="22">
        <v>714</v>
      </c>
      <c r="D21" s="23">
        <v>0</v>
      </c>
      <c r="E21" s="24">
        <v>0</v>
      </c>
      <c r="F21" s="43">
        <v>17</v>
      </c>
      <c r="G21" s="24">
        <v>2.3809999999999998</v>
      </c>
      <c r="H21" s="25">
        <v>124</v>
      </c>
      <c r="I21" s="24">
        <v>17.366900000000001</v>
      </c>
      <c r="J21" s="43">
        <v>237</v>
      </c>
      <c r="K21" s="24">
        <v>33.193300000000001</v>
      </c>
      <c r="L21" s="25">
        <v>301</v>
      </c>
      <c r="M21" s="24">
        <v>42.1569</v>
      </c>
      <c r="N21" s="25">
        <v>0</v>
      </c>
      <c r="O21" s="24">
        <v>0</v>
      </c>
      <c r="P21" s="47">
        <v>35</v>
      </c>
      <c r="Q21" s="27">
        <v>4.9020000000000001</v>
      </c>
      <c r="R21" s="23">
        <v>136</v>
      </c>
      <c r="S21" s="27">
        <v>19.047599999999999</v>
      </c>
      <c r="T21" s="44">
        <v>15</v>
      </c>
      <c r="U21" s="27">
        <v>2.1008</v>
      </c>
      <c r="V21" s="23">
        <v>54</v>
      </c>
      <c r="W21" s="29">
        <v>7.5629999999999997</v>
      </c>
      <c r="X21" s="30">
        <v>4145</v>
      </c>
      <c r="Y21" s="31">
        <v>87.165000000000006</v>
      </c>
    </row>
    <row r="22" spans="1:25" s="32" customFormat="1" ht="15" customHeight="1" x14ac:dyDescent="0.25">
      <c r="A22" s="21" t="s">
        <v>18</v>
      </c>
      <c r="B22" s="33" t="s">
        <v>33</v>
      </c>
      <c r="C22" s="34">
        <v>229</v>
      </c>
      <c r="D22" s="35">
        <v>0</v>
      </c>
      <c r="E22" s="36">
        <v>0</v>
      </c>
      <c r="F22" s="45">
        <v>0</v>
      </c>
      <c r="G22" s="36">
        <v>0</v>
      </c>
      <c r="H22" s="37">
        <v>34</v>
      </c>
      <c r="I22" s="36">
        <v>14.847200000000001</v>
      </c>
      <c r="J22" s="37">
        <v>86</v>
      </c>
      <c r="K22" s="36">
        <v>37.554600000000001</v>
      </c>
      <c r="L22" s="37">
        <v>100</v>
      </c>
      <c r="M22" s="36">
        <v>43.668100000000003</v>
      </c>
      <c r="N22" s="37">
        <v>0</v>
      </c>
      <c r="O22" s="36">
        <v>0</v>
      </c>
      <c r="P22" s="48">
        <v>9</v>
      </c>
      <c r="Q22" s="38">
        <v>3.9300999999999999</v>
      </c>
      <c r="R22" s="35">
        <v>29</v>
      </c>
      <c r="S22" s="38">
        <v>12.6638</v>
      </c>
      <c r="T22" s="46">
        <v>2</v>
      </c>
      <c r="U22" s="38">
        <v>0.87339999999999995</v>
      </c>
      <c r="V22" s="35">
        <v>9</v>
      </c>
      <c r="W22" s="39">
        <v>3.9300999999999999</v>
      </c>
      <c r="X22" s="40">
        <v>1886</v>
      </c>
      <c r="Y22" s="41">
        <v>100</v>
      </c>
    </row>
    <row r="23" spans="1:25" s="32" customFormat="1" ht="15" customHeight="1" x14ac:dyDescent="0.25">
      <c r="A23" s="21" t="s">
        <v>18</v>
      </c>
      <c r="B23" s="42" t="s">
        <v>34</v>
      </c>
      <c r="C23" s="22">
        <v>131</v>
      </c>
      <c r="D23" s="23">
        <v>0</v>
      </c>
      <c r="E23" s="24">
        <v>0</v>
      </c>
      <c r="F23" s="43">
        <v>1</v>
      </c>
      <c r="G23" s="24">
        <v>0.76339999999999997</v>
      </c>
      <c r="H23" s="25">
        <v>15</v>
      </c>
      <c r="I23" s="24">
        <v>11.4504</v>
      </c>
      <c r="J23" s="43">
        <v>12</v>
      </c>
      <c r="K23" s="24">
        <v>9.1602999999999994</v>
      </c>
      <c r="L23" s="25">
        <v>100</v>
      </c>
      <c r="M23" s="24">
        <v>76.335899999999995</v>
      </c>
      <c r="N23" s="25">
        <v>1</v>
      </c>
      <c r="O23" s="24">
        <v>0.76339999999999997</v>
      </c>
      <c r="P23" s="47">
        <v>2</v>
      </c>
      <c r="Q23" s="27">
        <v>1.5266999999999999</v>
      </c>
      <c r="R23" s="23">
        <v>34</v>
      </c>
      <c r="S23" s="27">
        <v>25.9542</v>
      </c>
      <c r="T23" s="44">
        <v>2</v>
      </c>
      <c r="U23" s="27">
        <v>1.5266999999999999</v>
      </c>
      <c r="V23" s="23">
        <v>9</v>
      </c>
      <c r="W23" s="29">
        <v>6.8701999999999996</v>
      </c>
      <c r="X23" s="30">
        <v>1343</v>
      </c>
      <c r="Y23" s="31">
        <v>100</v>
      </c>
    </row>
    <row r="24" spans="1:25" s="32" customFormat="1" ht="15" customHeight="1" x14ac:dyDescent="0.25">
      <c r="A24" s="21" t="s">
        <v>18</v>
      </c>
      <c r="B24" s="33" t="s">
        <v>35</v>
      </c>
      <c r="C24" s="34">
        <v>119</v>
      </c>
      <c r="D24" s="35">
        <v>1</v>
      </c>
      <c r="E24" s="36">
        <v>0.84030000000000005</v>
      </c>
      <c r="F24" s="45">
        <v>1</v>
      </c>
      <c r="G24" s="36">
        <v>0.84030000000000005</v>
      </c>
      <c r="H24" s="37">
        <v>14</v>
      </c>
      <c r="I24" s="36">
        <v>11.764699999999999</v>
      </c>
      <c r="J24" s="37">
        <v>4</v>
      </c>
      <c r="K24" s="36">
        <v>3.3613</v>
      </c>
      <c r="L24" s="37">
        <v>92</v>
      </c>
      <c r="M24" s="36">
        <v>77.310900000000004</v>
      </c>
      <c r="N24" s="37">
        <v>0</v>
      </c>
      <c r="O24" s="36">
        <v>0</v>
      </c>
      <c r="P24" s="48">
        <v>7</v>
      </c>
      <c r="Q24" s="38">
        <v>5.8823999999999996</v>
      </c>
      <c r="R24" s="35">
        <v>33</v>
      </c>
      <c r="S24" s="38">
        <v>27.731100000000001</v>
      </c>
      <c r="T24" s="46">
        <v>1</v>
      </c>
      <c r="U24" s="38">
        <v>0.84030000000000005</v>
      </c>
      <c r="V24" s="35">
        <v>4</v>
      </c>
      <c r="W24" s="39">
        <v>3.3613</v>
      </c>
      <c r="X24" s="40">
        <v>1350</v>
      </c>
      <c r="Y24" s="41">
        <v>100</v>
      </c>
    </row>
    <row r="25" spans="1:25" s="32" customFormat="1" ht="15" customHeight="1" x14ac:dyDescent="0.25">
      <c r="A25" s="21" t="s">
        <v>18</v>
      </c>
      <c r="B25" s="42" t="s">
        <v>36</v>
      </c>
      <c r="C25" s="22">
        <v>137</v>
      </c>
      <c r="D25" s="23">
        <v>0</v>
      </c>
      <c r="E25" s="24">
        <v>0</v>
      </c>
      <c r="F25" s="43">
        <v>1</v>
      </c>
      <c r="G25" s="24">
        <v>0.72989999999999999</v>
      </c>
      <c r="H25" s="25">
        <v>5</v>
      </c>
      <c r="I25" s="24">
        <v>3.6496</v>
      </c>
      <c r="J25" s="43">
        <v>45</v>
      </c>
      <c r="K25" s="24">
        <v>32.846699999999998</v>
      </c>
      <c r="L25" s="25">
        <v>74</v>
      </c>
      <c r="M25" s="24">
        <v>54.014600000000002</v>
      </c>
      <c r="N25" s="25">
        <v>0</v>
      </c>
      <c r="O25" s="24">
        <v>0</v>
      </c>
      <c r="P25" s="47">
        <v>12</v>
      </c>
      <c r="Q25" s="27">
        <v>8.7591000000000001</v>
      </c>
      <c r="R25" s="23">
        <v>18</v>
      </c>
      <c r="S25" s="27">
        <v>13.1387</v>
      </c>
      <c r="T25" s="44">
        <v>4</v>
      </c>
      <c r="U25" s="27">
        <v>2.9197000000000002</v>
      </c>
      <c r="V25" s="23">
        <v>3</v>
      </c>
      <c r="W25" s="29">
        <v>2.1898</v>
      </c>
      <c r="X25" s="30">
        <v>1401</v>
      </c>
      <c r="Y25" s="31">
        <v>100</v>
      </c>
    </row>
    <row r="26" spans="1:25" s="32" customFormat="1" ht="15" customHeight="1" x14ac:dyDescent="0.25">
      <c r="A26" s="21" t="s">
        <v>18</v>
      </c>
      <c r="B26" s="33" t="s">
        <v>37</v>
      </c>
      <c r="C26" s="34">
        <v>37</v>
      </c>
      <c r="D26" s="35">
        <v>1</v>
      </c>
      <c r="E26" s="36">
        <v>2.7027000000000001</v>
      </c>
      <c r="F26" s="45">
        <v>0</v>
      </c>
      <c r="G26" s="36">
        <v>0</v>
      </c>
      <c r="H26" s="37">
        <v>4</v>
      </c>
      <c r="I26" s="36">
        <v>10.8108</v>
      </c>
      <c r="J26" s="37">
        <v>22</v>
      </c>
      <c r="K26" s="36">
        <v>59.459499999999998</v>
      </c>
      <c r="L26" s="37">
        <v>9</v>
      </c>
      <c r="M26" s="36">
        <v>24.324300000000001</v>
      </c>
      <c r="N26" s="37">
        <v>0</v>
      </c>
      <c r="O26" s="36">
        <v>0</v>
      </c>
      <c r="P26" s="48">
        <v>1</v>
      </c>
      <c r="Q26" s="38">
        <v>2.7027000000000001</v>
      </c>
      <c r="R26" s="35">
        <v>10</v>
      </c>
      <c r="S26" s="38">
        <v>27.027000000000001</v>
      </c>
      <c r="T26" s="46">
        <v>8</v>
      </c>
      <c r="U26" s="38">
        <v>21.621600000000001</v>
      </c>
      <c r="V26" s="35">
        <v>1</v>
      </c>
      <c r="W26" s="39">
        <v>2.7027000000000001</v>
      </c>
      <c r="X26" s="40">
        <v>1365</v>
      </c>
      <c r="Y26" s="41">
        <v>100</v>
      </c>
    </row>
    <row r="27" spans="1:25" s="32" customFormat="1" ht="15" customHeight="1" x14ac:dyDescent="0.25">
      <c r="A27" s="21" t="s">
        <v>18</v>
      </c>
      <c r="B27" s="42" t="s">
        <v>38</v>
      </c>
      <c r="C27" s="22">
        <v>63</v>
      </c>
      <c r="D27" s="23">
        <v>0</v>
      </c>
      <c r="E27" s="24">
        <v>0</v>
      </c>
      <c r="F27" s="43">
        <v>0</v>
      </c>
      <c r="G27" s="24">
        <v>0</v>
      </c>
      <c r="H27" s="25">
        <v>1</v>
      </c>
      <c r="I27" s="24">
        <v>1.5872999999999999</v>
      </c>
      <c r="J27" s="43">
        <v>4</v>
      </c>
      <c r="K27" s="24">
        <v>6.3491999999999997</v>
      </c>
      <c r="L27" s="25">
        <v>55</v>
      </c>
      <c r="M27" s="24">
        <v>87.301599999999993</v>
      </c>
      <c r="N27" s="25">
        <v>0</v>
      </c>
      <c r="O27" s="24">
        <v>0</v>
      </c>
      <c r="P27" s="47">
        <v>3</v>
      </c>
      <c r="Q27" s="27">
        <v>4.7618999999999998</v>
      </c>
      <c r="R27" s="23">
        <v>19</v>
      </c>
      <c r="S27" s="27">
        <v>30.1587</v>
      </c>
      <c r="T27" s="44">
        <v>1</v>
      </c>
      <c r="U27" s="27">
        <v>1.5872999999999999</v>
      </c>
      <c r="V27" s="23">
        <v>0</v>
      </c>
      <c r="W27" s="29">
        <v>0</v>
      </c>
      <c r="X27" s="30">
        <v>579</v>
      </c>
      <c r="Y27" s="31">
        <v>100</v>
      </c>
    </row>
    <row r="28" spans="1:25" s="32" customFormat="1" ht="15" customHeight="1" x14ac:dyDescent="0.25">
      <c r="A28" s="21" t="s">
        <v>18</v>
      </c>
      <c r="B28" s="33" t="s">
        <v>39</v>
      </c>
      <c r="C28" s="34">
        <v>104</v>
      </c>
      <c r="D28" s="35">
        <v>0</v>
      </c>
      <c r="E28" s="36">
        <v>0</v>
      </c>
      <c r="F28" s="45">
        <v>2</v>
      </c>
      <c r="G28" s="36">
        <v>1.9231</v>
      </c>
      <c r="H28" s="37">
        <v>5</v>
      </c>
      <c r="I28" s="36">
        <v>4.8076999999999996</v>
      </c>
      <c r="J28" s="37">
        <v>40</v>
      </c>
      <c r="K28" s="36">
        <v>38.461500000000001</v>
      </c>
      <c r="L28" s="37">
        <v>52</v>
      </c>
      <c r="M28" s="36">
        <v>50</v>
      </c>
      <c r="N28" s="37">
        <v>0</v>
      </c>
      <c r="O28" s="36">
        <v>0</v>
      </c>
      <c r="P28" s="48">
        <v>5</v>
      </c>
      <c r="Q28" s="38">
        <v>4.8076999999999996</v>
      </c>
      <c r="R28" s="35">
        <v>17</v>
      </c>
      <c r="S28" s="38">
        <v>16.3462</v>
      </c>
      <c r="T28" s="46">
        <v>4</v>
      </c>
      <c r="U28" s="38">
        <v>3.8462000000000001</v>
      </c>
      <c r="V28" s="35">
        <v>3</v>
      </c>
      <c r="W28" s="39">
        <v>2.8845999999999998</v>
      </c>
      <c r="X28" s="40">
        <v>1414</v>
      </c>
      <c r="Y28" s="41">
        <v>100</v>
      </c>
    </row>
    <row r="29" spans="1:25" s="32" customFormat="1" ht="15" customHeight="1" x14ac:dyDescent="0.25">
      <c r="A29" s="21" t="s">
        <v>18</v>
      </c>
      <c r="B29" s="42" t="s">
        <v>40</v>
      </c>
      <c r="C29" s="22">
        <v>155</v>
      </c>
      <c r="D29" s="23">
        <v>2</v>
      </c>
      <c r="E29" s="24">
        <v>1.2903</v>
      </c>
      <c r="F29" s="43">
        <v>2</v>
      </c>
      <c r="G29" s="24">
        <v>1.2903</v>
      </c>
      <c r="H29" s="25">
        <v>30</v>
      </c>
      <c r="I29" s="24">
        <v>19.354800000000001</v>
      </c>
      <c r="J29" s="43">
        <v>30</v>
      </c>
      <c r="K29" s="24">
        <v>19.354800000000001</v>
      </c>
      <c r="L29" s="25">
        <v>86</v>
      </c>
      <c r="M29" s="24">
        <v>55.483899999999998</v>
      </c>
      <c r="N29" s="25">
        <v>0</v>
      </c>
      <c r="O29" s="24">
        <v>0</v>
      </c>
      <c r="P29" s="47">
        <v>5</v>
      </c>
      <c r="Q29" s="27">
        <v>3.2258</v>
      </c>
      <c r="R29" s="23">
        <v>44</v>
      </c>
      <c r="S29" s="27">
        <v>28.3871</v>
      </c>
      <c r="T29" s="44">
        <v>10</v>
      </c>
      <c r="U29" s="27">
        <v>6.4516</v>
      </c>
      <c r="V29" s="23">
        <v>18</v>
      </c>
      <c r="W29" s="29">
        <v>11.6129</v>
      </c>
      <c r="X29" s="30">
        <v>1870</v>
      </c>
      <c r="Y29" s="31">
        <v>99.037000000000006</v>
      </c>
    </row>
    <row r="30" spans="1:25" s="32" customFormat="1" ht="15" customHeight="1" x14ac:dyDescent="0.25">
      <c r="A30" s="21" t="s">
        <v>18</v>
      </c>
      <c r="B30" s="33" t="s">
        <v>41</v>
      </c>
      <c r="C30" s="34">
        <v>578</v>
      </c>
      <c r="D30" s="35">
        <v>6</v>
      </c>
      <c r="E30" s="36">
        <v>1.0381</v>
      </c>
      <c r="F30" s="45">
        <v>6</v>
      </c>
      <c r="G30" s="36">
        <v>1.0381</v>
      </c>
      <c r="H30" s="37">
        <v>36</v>
      </c>
      <c r="I30" s="36">
        <v>6.2283999999999997</v>
      </c>
      <c r="J30" s="37">
        <v>91</v>
      </c>
      <c r="K30" s="36">
        <v>15.7439</v>
      </c>
      <c r="L30" s="37">
        <v>411</v>
      </c>
      <c r="M30" s="36">
        <v>71.107299999999995</v>
      </c>
      <c r="N30" s="37">
        <v>1</v>
      </c>
      <c r="O30" s="36">
        <v>0.17299999999999999</v>
      </c>
      <c r="P30" s="48">
        <v>27</v>
      </c>
      <c r="Q30" s="38">
        <v>4.6712999999999996</v>
      </c>
      <c r="R30" s="35">
        <v>123</v>
      </c>
      <c r="S30" s="38">
        <v>21.2803</v>
      </c>
      <c r="T30" s="46">
        <v>19</v>
      </c>
      <c r="U30" s="38">
        <v>3.2871999999999999</v>
      </c>
      <c r="V30" s="35">
        <v>26</v>
      </c>
      <c r="W30" s="39">
        <v>4.4983000000000004</v>
      </c>
      <c r="X30" s="40">
        <v>3559</v>
      </c>
      <c r="Y30" s="41">
        <v>100</v>
      </c>
    </row>
    <row r="31" spans="1:25" s="32" customFormat="1" ht="15" customHeight="1" x14ac:dyDescent="0.25">
      <c r="A31" s="21" t="s">
        <v>18</v>
      </c>
      <c r="B31" s="42" t="s">
        <v>42</v>
      </c>
      <c r="C31" s="22">
        <v>544</v>
      </c>
      <c r="D31" s="23">
        <v>44</v>
      </c>
      <c r="E31" s="24">
        <v>8.0882000000000005</v>
      </c>
      <c r="F31" s="43">
        <v>14</v>
      </c>
      <c r="G31" s="24">
        <v>2.5735000000000001</v>
      </c>
      <c r="H31" s="25">
        <v>56</v>
      </c>
      <c r="I31" s="24">
        <v>10.2941</v>
      </c>
      <c r="J31" s="43">
        <v>151</v>
      </c>
      <c r="K31" s="24">
        <v>27.757400000000001</v>
      </c>
      <c r="L31" s="25">
        <v>255</v>
      </c>
      <c r="M31" s="24">
        <v>46.875</v>
      </c>
      <c r="N31" s="25">
        <v>0</v>
      </c>
      <c r="O31" s="24">
        <v>0</v>
      </c>
      <c r="P31" s="47">
        <v>24</v>
      </c>
      <c r="Q31" s="27">
        <v>4.4118000000000004</v>
      </c>
      <c r="R31" s="23">
        <v>141</v>
      </c>
      <c r="S31" s="27">
        <v>25.9191</v>
      </c>
      <c r="T31" s="44">
        <v>10</v>
      </c>
      <c r="U31" s="27">
        <v>1.8382000000000001</v>
      </c>
      <c r="V31" s="23">
        <v>49</v>
      </c>
      <c r="W31" s="29">
        <v>9.0074000000000005</v>
      </c>
      <c r="X31" s="30">
        <v>2232</v>
      </c>
      <c r="Y31" s="31">
        <v>100</v>
      </c>
    </row>
    <row r="32" spans="1:25" s="32" customFormat="1" ht="15" customHeight="1" x14ac:dyDescent="0.25">
      <c r="A32" s="21" t="s">
        <v>18</v>
      </c>
      <c r="B32" s="33" t="s">
        <v>43</v>
      </c>
      <c r="C32" s="34">
        <v>72</v>
      </c>
      <c r="D32" s="35">
        <v>0</v>
      </c>
      <c r="E32" s="36">
        <v>0</v>
      </c>
      <c r="F32" s="45">
        <v>1</v>
      </c>
      <c r="G32" s="36">
        <v>1.3889</v>
      </c>
      <c r="H32" s="37">
        <v>0</v>
      </c>
      <c r="I32" s="36">
        <v>0</v>
      </c>
      <c r="J32" s="37">
        <v>39</v>
      </c>
      <c r="K32" s="36">
        <v>54.166699999999999</v>
      </c>
      <c r="L32" s="37">
        <v>32</v>
      </c>
      <c r="M32" s="36">
        <v>44.444400000000002</v>
      </c>
      <c r="N32" s="37">
        <v>0</v>
      </c>
      <c r="O32" s="36">
        <v>0</v>
      </c>
      <c r="P32" s="48">
        <v>0</v>
      </c>
      <c r="Q32" s="38">
        <v>0</v>
      </c>
      <c r="R32" s="35">
        <v>22</v>
      </c>
      <c r="S32" s="38">
        <v>30.555599999999998</v>
      </c>
      <c r="T32" s="46">
        <v>0</v>
      </c>
      <c r="U32" s="38">
        <v>0</v>
      </c>
      <c r="V32" s="35">
        <v>0</v>
      </c>
      <c r="W32" s="39">
        <v>0</v>
      </c>
      <c r="X32" s="40">
        <v>960</v>
      </c>
      <c r="Y32" s="41">
        <v>100</v>
      </c>
    </row>
    <row r="33" spans="1:25" s="32" customFormat="1" ht="15" customHeight="1" x14ac:dyDescent="0.25">
      <c r="A33" s="21" t="s">
        <v>18</v>
      </c>
      <c r="B33" s="42" t="s">
        <v>44</v>
      </c>
      <c r="C33" s="22">
        <v>473</v>
      </c>
      <c r="D33" s="23">
        <v>1</v>
      </c>
      <c r="E33" s="24">
        <v>0.2114</v>
      </c>
      <c r="F33" s="43">
        <v>2</v>
      </c>
      <c r="G33" s="24">
        <v>0.42280000000000001</v>
      </c>
      <c r="H33" s="25">
        <v>19</v>
      </c>
      <c r="I33" s="24">
        <v>4.0168999999999997</v>
      </c>
      <c r="J33" s="43">
        <v>180</v>
      </c>
      <c r="K33" s="24">
        <v>38.055</v>
      </c>
      <c r="L33" s="25">
        <v>254</v>
      </c>
      <c r="M33" s="24">
        <v>53.699800000000003</v>
      </c>
      <c r="N33" s="25">
        <v>1</v>
      </c>
      <c r="O33" s="24">
        <v>0.2114</v>
      </c>
      <c r="P33" s="47">
        <v>16</v>
      </c>
      <c r="Q33" s="27">
        <v>3.3826999999999998</v>
      </c>
      <c r="R33" s="23">
        <v>100</v>
      </c>
      <c r="S33" s="27">
        <v>21.1416</v>
      </c>
      <c r="T33" s="44">
        <v>11</v>
      </c>
      <c r="U33" s="27">
        <v>2.3256000000000001</v>
      </c>
      <c r="V33" s="23">
        <v>10</v>
      </c>
      <c r="W33" s="29">
        <v>2.1141999999999999</v>
      </c>
      <c r="X33" s="30">
        <v>2381</v>
      </c>
      <c r="Y33" s="31">
        <v>100</v>
      </c>
    </row>
    <row r="34" spans="1:25" s="32" customFormat="1" ht="15" customHeight="1" x14ac:dyDescent="0.25">
      <c r="A34" s="21" t="s">
        <v>18</v>
      </c>
      <c r="B34" s="33" t="s">
        <v>45</v>
      </c>
      <c r="C34" s="34">
        <v>75</v>
      </c>
      <c r="D34" s="35">
        <v>8</v>
      </c>
      <c r="E34" s="36">
        <v>10.666700000000001</v>
      </c>
      <c r="F34" s="45">
        <v>1</v>
      </c>
      <c r="G34" s="36">
        <v>1.3332999999999999</v>
      </c>
      <c r="H34" s="37">
        <v>2</v>
      </c>
      <c r="I34" s="36">
        <v>2.6667000000000001</v>
      </c>
      <c r="J34" s="37">
        <v>4</v>
      </c>
      <c r="K34" s="36">
        <v>5.3333000000000004</v>
      </c>
      <c r="L34" s="37">
        <v>58</v>
      </c>
      <c r="M34" s="36">
        <v>77.333299999999994</v>
      </c>
      <c r="N34" s="37">
        <v>0</v>
      </c>
      <c r="O34" s="36">
        <v>0</v>
      </c>
      <c r="P34" s="48">
        <v>2</v>
      </c>
      <c r="Q34" s="38">
        <v>2.6667000000000001</v>
      </c>
      <c r="R34" s="35">
        <v>10</v>
      </c>
      <c r="S34" s="38">
        <v>13.333299999999999</v>
      </c>
      <c r="T34" s="46">
        <v>1</v>
      </c>
      <c r="U34" s="38">
        <v>1.3332999999999999</v>
      </c>
      <c r="V34" s="35">
        <v>0</v>
      </c>
      <c r="W34" s="39">
        <v>0</v>
      </c>
      <c r="X34" s="40">
        <v>823</v>
      </c>
      <c r="Y34" s="41">
        <v>96.233000000000004</v>
      </c>
    </row>
    <row r="35" spans="1:25" s="32" customFormat="1" ht="15" customHeight="1" x14ac:dyDescent="0.25">
      <c r="A35" s="21" t="s">
        <v>18</v>
      </c>
      <c r="B35" s="42" t="s">
        <v>46</v>
      </c>
      <c r="C35" s="22">
        <v>161</v>
      </c>
      <c r="D35" s="23">
        <v>2</v>
      </c>
      <c r="E35" s="24">
        <v>1.2422</v>
      </c>
      <c r="F35" s="43">
        <v>0</v>
      </c>
      <c r="G35" s="24">
        <v>0</v>
      </c>
      <c r="H35" s="25">
        <v>28</v>
      </c>
      <c r="I35" s="24">
        <v>17.391300000000001</v>
      </c>
      <c r="J35" s="43">
        <v>33</v>
      </c>
      <c r="K35" s="24">
        <v>20.4969</v>
      </c>
      <c r="L35" s="25">
        <v>86</v>
      </c>
      <c r="M35" s="24">
        <v>53.4161</v>
      </c>
      <c r="N35" s="25">
        <v>0</v>
      </c>
      <c r="O35" s="24">
        <v>0</v>
      </c>
      <c r="P35" s="47">
        <v>12</v>
      </c>
      <c r="Q35" s="27">
        <v>7.4534000000000002</v>
      </c>
      <c r="R35" s="23">
        <v>44</v>
      </c>
      <c r="S35" s="27">
        <v>27.3292</v>
      </c>
      <c r="T35" s="44">
        <v>3</v>
      </c>
      <c r="U35" s="27">
        <v>1.8633999999999999</v>
      </c>
      <c r="V35" s="23">
        <v>0</v>
      </c>
      <c r="W35" s="29">
        <v>0</v>
      </c>
      <c r="X35" s="30">
        <v>1055</v>
      </c>
      <c r="Y35" s="31">
        <v>100</v>
      </c>
    </row>
    <row r="36" spans="1:25" s="32" customFormat="1" ht="15" customHeight="1" x14ac:dyDescent="0.25">
      <c r="A36" s="21" t="s">
        <v>18</v>
      </c>
      <c r="B36" s="33" t="s">
        <v>47</v>
      </c>
      <c r="C36" s="34">
        <v>24</v>
      </c>
      <c r="D36" s="35">
        <v>2</v>
      </c>
      <c r="E36" s="36">
        <v>8.3332999999999995</v>
      </c>
      <c r="F36" s="45">
        <v>0</v>
      </c>
      <c r="G36" s="36">
        <v>0</v>
      </c>
      <c r="H36" s="37">
        <v>9</v>
      </c>
      <c r="I36" s="36">
        <v>37.5</v>
      </c>
      <c r="J36" s="37">
        <v>1</v>
      </c>
      <c r="K36" s="36">
        <v>4.1666999999999996</v>
      </c>
      <c r="L36" s="37">
        <v>12</v>
      </c>
      <c r="M36" s="36">
        <v>50</v>
      </c>
      <c r="N36" s="37">
        <v>0</v>
      </c>
      <c r="O36" s="36">
        <v>0</v>
      </c>
      <c r="P36" s="48">
        <v>0</v>
      </c>
      <c r="Q36" s="38">
        <v>0</v>
      </c>
      <c r="R36" s="35">
        <v>4</v>
      </c>
      <c r="S36" s="38">
        <v>16.666699999999999</v>
      </c>
      <c r="T36" s="46">
        <v>2</v>
      </c>
      <c r="U36" s="38">
        <v>8.3332999999999995</v>
      </c>
      <c r="V36" s="35">
        <v>7</v>
      </c>
      <c r="W36" s="39">
        <v>29.166699999999999</v>
      </c>
      <c r="X36" s="40">
        <v>704</v>
      </c>
      <c r="Y36" s="41">
        <v>100</v>
      </c>
    </row>
    <row r="37" spans="1:25" s="32" customFormat="1" ht="15" customHeight="1" x14ac:dyDescent="0.25">
      <c r="A37" s="21" t="s">
        <v>18</v>
      </c>
      <c r="B37" s="42" t="s">
        <v>48</v>
      </c>
      <c r="C37" s="22">
        <v>106</v>
      </c>
      <c r="D37" s="23">
        <v>1</v>
      </c>
      <c r="E37" s="24">
        <v>0.94340000000000002</v>
      </c>
      <c r="F37" s="43">
        <v>2</v>
      </c>
      <c r="G37" s="24">
        <v>1.8868</v>
      </c>
      <c r="H37" s="25">
        <v>2</v>
      </c>
      <c r="I37" s="24">
        <v>1.8868</v>
      </c>
      <c r="J37" s="43">
        <v>5</v>
      </c>
      <c r="K37" s="24">
        <v>4.7169999999999996</v>
      </c>
      <c r="L37" s="25">
        <v>92</v>
      </c>
      <c r="M37" s="24">
        <v>86.792500000000004</v>
      </c>
      <c r="N37" s="25">
        <v>1</v>
      </c>
      <c r="O37" s="24">
        <v>0.94340000000000002</v>
      </c>
      <c r="P37" s="47">
        <v>3</v>
      </c>
      <c r="Q37" s="27">
        <v>2.8302</v>
      </c>
      <c r="R37" s="23">
        <v>19</v>
      </c>
      <c r="S37" s="27">
        <v>17.924499999999998</v>
      </c>
      <c r="T37" s="44">
        <v>9</v>
      </c>
      <c r="U37" s="27">
        <v>8.4906000000000006</v>
      </c>
      <c r="V37" s="23">
        <v>0</v>
      </c>
      <c r="W37" s="29">
        <v>0</v>
      </c>
      <c r="X37" s="30">
        <v>491</v>
      </c>
      <c r="Y37" s="31">
        <v>100</v>
      </c>
    </row>
    <row r="38" spans="1:25" s="32" customFormat="1" ht="15" customHeight="1" x14ac:dyDescent="0.25">
      <c r="A38" s="21" t="s">
        <v>18</v>
      </c>
      <c r="B38" s="33" t="s">
        <v>49</v>
      </c>
      <c r="C38" s="34">
        <v>1132</v>
      </c>
      <c r="D38" s="35">
        <v>1</v>
      </c>
      <c r="E38" s="36">
        <v>8.8300000000000003E-2</v>
      </c>
      <c r="F38" s="45">
        <v>39</v>
      </c>
      <c r="G38" s="36">
        <v>3.4451999999999998</v>
      </c>
      <c r="H38" s="37">
        <v>247</v>
      </c>
      <c r="I38" s="36">
        <v>21.819800000000001</v>
      </c>
      <c r="J38" s="37">
        <v>255</v>
      </c>
      <c r="K38" s="36">
        <v>22.526499999999999</v>
      </c>
      <c r="L38" s="37">
        <v>557</v>
      </c>
      <c r="M38" s="36">
        <v>49.204900000000002</v>
      </c>
      <c r="N38" s="37">
        <v>0</v>
      </c>
      <c r="O38" s="36">
        <v>0</v>
      </c>
      <c r="P38" s="48">
        <v>33</v>
      </c>
      <c r="Q38" s="38">
        <v>2.9152</v>
      </c>
      <c r="R38" s="35">
        <v>267</v>
      </c>
      <c r="S38" s="38">
        <v>23.586600000000001</v>
      </c>
      <c r="T38" s="46">
        <v>36</v>
      </c>
      <c r="U38" s="38">
        <v>3.1802000000000001</v>
      </c>
      <c r="V38" s="35">
        <v>13</v>
      </c>
      <c r="W38" s="39">
        <v>1.1484000000000001</v>
      </c>
      <c r="X38" s="40">
        <v>2561</v>
      </c>
      <c r="Y38" s="41">
        <v>100</v>
      </c>
    </row>
    <row r="39" spans="1:25" s="32" customFormat="1" ht="15" customHeight="1" x14ac:dyDescent="0.25">
      <c r="A39" s="21" t="s">
        <v>18</v>
      </c>
      <c r="B39" s="42" t="s">
        <v>50</v>
      </c>
      <c r="C39" s="22">
        <v>25</v>
      </c>
      <c r="D39" s="23">
        <v>4</v>
      </c>
      <c r="E39" s="24">
        <v>16</v>
      </c>
      <c r="F39" s="43">
        <v>0</v>
      </c>
      <c r="G39" s="24">
        <v>0</v>
      </c>
      <c r="H39" s="25">
        <v>13</v>
      </c>
      <c r="I39" s="24">
        <v>52</v>
      </c>
      <c r="J39" s="43">
        <v>0</v>
      </c>
      <c r="K39" s="24">
        <v>0</v>
      </c>
      <c r="L39" s="25">
        <v>8</v>
      </c>
      <c r="M39" s="24">
        <v>32</v>
      </c>
      <c r="N39" s="25">
        <v>0</v>
      </c>
      <c r="O39" s="24">
        <v>0</v>
      </c>
      <c r="P39" s="47">
        <v>0</v>
      </c>
      <c r="Q39" s="27">
        <v>0</v>
      </c>
      <c r="R39" s="23">
        <v>8</v>
      </c>
      <c r="S39" s="27">
        <v>32</v>
      </c>
      <c r="T39" s="44">
        <v>0</v>
      </c>
      <c r="U39" s="27">
        <v>0</v>
      </c>
      <c r="V39" s="23">
        <v>4</v>
      </c>
      <c r="W39" s="29">
        <v>16</v>
      </c>
      <c r="X39" s="30">
        <v>866</v>
      </c>
      <c r="Y39" s="31">
        <v>100</v>
      </c>
    </row>
    <row r="40" spans="1:25" s="32" customFormat="1" ht="15" customHeight="1" x14ac:dyDescent="0.25">
      <c r="A40" s="21" t="s">
        <v>18</v>
      </c>
      <c r="B40" s="33" t="s">
        <v>51</v>
      </c>
      <c r="C40" s="34">
        <v>672</v>
      </c>
      <c r="D40" s="35">
        <v>2</v>
      </c>
      <c r="E40" s="36">
        <v>0.29759999999999998</v>
      </c>
      <c r="F40" s="45">
        <v>13</v>
      </c>
      <c r="G40" s="36">
        <v>1.9345000000000001</v>
      </c>
      <c r="H40" s="37">
        <v>45</v>
      </c>
      <c r="I40" s="36">
        <v>6.6963999999999997</v>
      </c>
      <c r="J40" s="37">
        <v>131</v>
      </c>
      <c r="K40" s="36">
        <v>19.494</v>
      </c>
      <c r="L40" s="37">
        <v>471</v>
      </c>
      <c r="M40" s="36">
        <v>70.089299999999994</v>
      </c>
      <c r="N40" s="37">
        <v>0</v>
      </c>
      <c r="O40" s="36">
        <v>0</v>
      </c>
      <c r="P40" s="48">
        <v>10</v>
      </c>
      <c r="Q40" s="38">
        <v>1.4881</v>
      </c>
      <c r="R40" s="35">
        <v>210</v>
      </c>
      <c r="S40" s="38">
        <v>31.25</v>
      </c>
      <c r="T40" s="46">
        <v>21</v>
      </c>
      <c r="U40" s="38">
        <v>3.125</v>
      </c>
      <c r="V40" s="35">
        <v>6</v>
      </c>
      <c r="W40" s="39">
        <v>0.89290000000000003</v>
      </c>
      <c r="X40" s="40">
        <v>4873</v>
      </c>
      <c r="Y40" s="41">
        <v>100</v>
      </c>
    </row>
    <row r="41" spans="1:25" s="32" customFormat="1" ht="15" customHeight="1" x14ac:dyDescent="0.25">
      <c r="A41" s="21" t="s">
        <v>18</v>
      </c>
      <c r="B41" s="42" t="s">
        <v>52</v>
      </c>
      <c r="C41" s="22">
        <v>58</v>
      </c>
      <c r="D41" s="23">
        <v>0</v>
      </c>
      <c r="E41" s="24">
        <v>0</v>
      </c>
      <c r="F41" s="43">
        <v>1</v>
      </c>
      <c r="G41" s="24">
        <v>1.7241</v>
      </c>
      <c r="H41" s="25">
        <v>6</v>
      </c>
      <c r="I41" s="24">
        <v>10.344799999999999</v>
      </c>
      <c r="J41" s="43">
        <v>31</v>
      </c>
      <c r="K41" s="24">
        <v>53.448300000000003</v>
      </c>
      <c r="L41" s="25">
        <v>14</v>
      </c>
      <c r="M41" s="24">
        <v>24.137899999999998</v>
      </c>
      <c r="N41" s="25">
        <v>0</v>
      </c>
      <c r="O41" s="24">
        <v>0</v>
      </c>
      <c r="P41" s="47">
        <v>6</v>
      </c>
      <c r="Q41" s="27">
        <v>10.344799999999999</v>
      </c>
      <c r="R41" s="23">
        <v>17</v>
      </c>
      <c r="S41" s="27">
        <v>29.310300000000002</v>
      </c>
      <c r="T41" s="44">
        <v>1</v>
      </c>
      <c r="U41" s="27">
        <v>1.7241</v>
      </c>
      <c r="V41" s="23">
        <v>2</v>
      </c>
      <c r="W41" s="29">
        <v>3.4483000000000001</v>
      </c>
      <c r="X41" s="30">
        <v>2661</v>
      </c>
      <c r="Y41" s="31">
        <v>100</v>
      </c>
    </row>
    <row r="42" spans="1:25" s="32" customFormat="1" ht="15" customHeight="1" x14ac:dyDescent="0.25">
      <c r="A42" s="21" t="s">
        <v>18</v>
      </c>
      <c r="B42" s="33" t="s">
        <v>53</v>
      </c>
      <c r="C42" s="34">
        <v>26</v>
      </c>
      <c r="D42" s="35">
        <v>4</v>
      </c>
      <c r="E42" s="36">
        <v>15.384600000000001</v>
      </c>
      <c r="F42" s="45">
        <v>0</v>
      </c>
      <c r="G42" s="36">
        <v>0</v>
      </c>
      <c r="H42" s="37">
        <v>3</v>
      </c>
      <c r="I42" s="36">
        <v>11.538500000000001</v>
      </c>
      <c r="J42" s="37">
        <v>2</v>
      </c>
      <c r="K42" s="36">
        <v>7.6923000000000004</v>
      </c>
      <c r="L42" s="37">
        <v>17</v>
      </c>
      <c r="M42" s="36">
        <v>65.384600000000006</v>
      </c>
      <c r="N42" s="37">
        <v>0</v>
      </c>
      <c r="O42" s="36">
        <v>0</v>
      </c>
      <c r="P42" s="48">
        <v>0</v>
      </c>
      <c r="Q42" s="38">
        <v>0</v>
      </c>
      <c r="R42" s="35">
        <v>5</v>
      </c>
      <c r="S42" s="38">
        <v>19.230799999999999</v>
      </c>
      <c r="T42" s="46">
        <v>0</v>
      </c>
      <c r="U42" s="38">
        <v>0</v>
      </c>
      <c r="V42" s="35">
        <v>2</v>
      </c>
      <c r="W42" s="39">
        <v>7.6923000000000004</v>
      </c>
      <c r="X42" s="40">
        <v>483</v>
      </c>
      <c r="Y42" s="41">
        <v>100</v>
      </c>
    </row>
    <row r="43" spans="1:25" s="32" customFormat="1" ht="15" customHeight="1" x14ac:dyDescent="0.25">
      <c r="A43" s="21" t="s">
        <v>18</v>
      </c>
      <c r="B43" s="42" t="s">
        <v>54</v>
      </c>
      <c r="C43" s="22">
        <v>161</v>
      </c>
      <c r="D43" s="23">
        <v>0</v>
      </c>
      <c r="E43" s="24">
        <v>0</v>
      </c>
      <c r="F43" s="43">
        <v>0</v>
      </c>
      <c r="G43" s="24">
        <v>0</v>
      </c>
      <c r="H43" s="25">
        <v>3</v>
      </c>
      <c r="I43" s="24">
        <v>1.8633999999999999</v>
      </c>
      <c r="J43" s="43">
        <v>56</v>
      </c>
      <c r="K43" s="24">
        <v>34.782600000000002</v>
      </c>
      <c r="L43" s="25">
        <v>96</v>
      </c>
      <c r="M43" s="24">
        <v>59.627299999999998</v>
      </c>
      <c r="N43" s="25">
        <v>0</v>
      </c>
      <c r="O43" s="24">
        <v>0</v>
      </c>
      <c r="P43" s="47">
        <v>6</v>
      </c>
      <c r="Q43" s="27">
        <v>3.7267000000000001</v>
      </c>
      <c r="R43" s="23">
        <v>36</v>
      </c>
      <c r="S43" s="27">
        <v>22.360199999999999</v>
      </c>
      <c r="T43" s="44">
        <v>9</v>
      </c>
      <c r="U43" s="27">
        <v>5.5900999999999996</v>
      </c>
      <c r="V43" s="23">
        <v>1</v>
      </c>
      <c r="W43" s="29">
        <v>0.62109999999999999</v>
      </c>
      <c r="X43" s="30">
        <v>3593</v>
      </c>
      <c r="Y43" s="31">
        <v>100</v>
      </c>
    </row>
    <row r="44" spans="1:25" s="32" customFormat="1" ht="15" customHeight="1" x14ac:dyDescent="0.25">
      <c r="A44" s="21" t="s">
        <v>18</v>
      </c>
      <c r="B44" s="33" t="s">
        <v>55</v>
      </c>
      <c r="C44" s="34">
        <v>171</v>
      </c>
      <c r="D44" s="35">
        <v>17</v>
      </c>
      <c r="E44" s="36">
        <v>9.9414999999999996</v>
      </c>
      <c r="F44" s="45">
        <v>4</v>
      </c>
      <c r="G44" s="36">
        <v>2.3391999999999999</v>
      </c>
      <c r="H44" s="37">
        <v>18</v>
      </c>
      <c r="I44" s="36">
        <v>10.526300000000001</v>
      </c>
      <c r="J44" s="37">
        <v>37</v>
      </c>
      <c r="K44" s="36">
        <v>21.6374</v>
      </c>
      <c r="L44" s="37">
        <v>83</v>
      </c>
      <c r="M44" s="36">
        <v>48.537999999999997</v>
      </c>
      <c r="N44" s="37">
        <v>0</v>
      </c>
      <c r="O44" s="36">
        <v>0</v>
      </c>
      <c r="P44" s="48">
        <v>12</v>
      </c>
      <c r="Q44" s="38">
        <v>7.0175000000000001</v>
      </c>
      <c r="R44" s="35">
        <v>46</v>
      </c>
      <c r="S44" s="38">
        <v>26.900600000000001</v>
      </c>
      <c r="T44" s="46">
        <v>1</v>
      </c>
      <c r="U44" s="38">
        <v>0.58479999999999999</v>
      </c>
      <c r="V44" s="35">
        <v>4</v>
      </c>
      <c r="W44" s="39">
        <v>2.3391999999999999</v>
      </c>
      <c r="X44" s="40">
        <v>1816</v>
      </c>
      <c r="Y44" s="41">
        <v>100</v>
      </c>
    </row>
    <row r="45" spans="1:25" s="32" customFormat="1" ht="15" customHeight="1" x14ac:dyDescent="0.25">
      <c r="A45" s="21" t="s">
        <v>18</v>
      </c>
      <c r="B45" s="42" t="s">
        <v>56</v>
      </c>
      <c r="C45" s="22">
        <v>896</v>
      </c>
      <c r="D45" s="23">
        <v>6</v>
      </c>
      <c r="E45" s="24">
        <v>0.66959999999999997</v>
      </c>
      <c r="F45" s="43">
        <v>8</v>
      </c>
      <c r="G45" s="24">
        <v>0.89290000000000003</v>
      </c>
      <c r="H45" s="25">
        <v>326</v>
      </c>
      <c r="I45" s="24">
        <v>36.383899999999997</v>
      </c>
      <c r="J45" s="43">
        <v>31</v>
      </c>
      <c r="K45" s="24">
        <v>3.4598</v>
      </c>
      <c r="L45" s="25">
        <v>448</v>
      </c>
      <c r="M45" s="24">
        <v>50</v>
      </c>
      <c r="N45" s="25">
        <v>24</v>
      </c>
      <c r="O45" s="24">
        <v>2.6785999999999999</v>
      </c>
      <c r="P45" s="47">
        <v>53</v>
      </c>
      <c r="Q45" s="27">
        <v>5.9151999999999996</v>
      </c>
      <c r="R45" s="23">
        <v>253</v>
      </c>
      <c r="S45" s="27">
        <v>28.236599999999999</v>
      </c>
      <c r="T45" s="44">
        <v>29</v>
      </c>
      <c r="U45" s="27">
        <v>3.2366000000000001</v>
      </c>
      <c r="V45" s="23">
        <v>149</v>
      </c>
      <c r="W45" s="29">
        <v>16.6295</v>
      </c>
      <c r="X45" s="30">
        <v>1289</v>
      </c>
      <c r="Y45" s="31">
        <v>100</v>
      </c>
    </row>
    <row r="46" spans="1:25" s="32" customFormat="1" ht="15" customHeight="1" x14ac:dyDescent="0.25">
      <c r="A46" s="21" t="s">
        <v>18</v>
      </c>
      <c r="B46" s="33" t="s">
        <v>57</v>
      </c>
      <c r="C46" s="34">
        <v>572</v>
      </c>
      <c r="D46" s="35">
        <v>2</v>
      </c>
      <c r="E46" s="36">
        <v>0.34970000000000001</v>
      </c>
      <c r="F46" s="45">
        <v>2</v>
      </c>
      <c r="G46" s="36">
        <v>0.34970000000000001</v>
      </c>
      <c r="H46" s="37">
        <v>207</v>
      </c>
      <c r="I46" s="36">
        <v>36.188800000000001</v>
      </c>
      <c r="J46" s="37">
        <v>119</v>
      </c>
      <c r="K46" s="36">
        <v>20.804200000000002</v>
      </c>
      <c r="L46" s="37">
        <v>222</v>
      </c>
      <c r="M46" s="36">
        <v>38.811199999999999</v>
      </c>
      <c r="N46" s="37">
        <v>1</v>
      </c>
      <c r="O46" s="36">
        <v>0.17480000000000001</v>
      </c>
      <c r="P46" s="48">
        <v>19</v>
      </c>
      <c r="Q46" s="38">
        <v>3.3216999999999999</v>
      </c>
      <c r="R46" s="35">
        <v>194</v>
      </c>
      <c r="S46" s="38">
        <v>33.9161</v>
      </c>
      <c r="T46" s="46">
        <v>11</v>
      </c>
      <c r="U46" s="38">
        <v>1.9231</v>
      </c>
      <c r="V46" s="35">
        <v>45</v>
      </c>
      <c r="W46" s="39">
        <v>7.8670999999999998</v>
      </c>
      <c r="X46" s="40">
        <v>3006</v>
      </c>
      <c r="Y46" s="41">
        <v>100</v>
      </c>
    </row>
    <row r="47" spans="1:25" s="32" customFormat="1" ht="15" customHeight="1" x14ac:dyDescent="0.25">
      <c r="A47" s="21" t="s">
        <v>18</v>
      </c>
      <c r="B47" s="42" t="s">
        <v>58</v>
      </c>
      <c r="C47" s="22">
        <v>29</v>
      </c>
      <c r="D47" s="23">
        <v>0</v>
      </c>
      <c r="E47" s="24">
        <v>0</v>
      </c>
      <c r="F47" s="43">
        <v>0</v>
      </c>
      <c r="G47" s="24">
        <v>0</v>
      </c>
      <c r="H47" s="25">
        <v>4</v>
      </c>
      <c r="I47" s="24">
        <v>13.793100000000001</v>
      </c>
      <c r="J47" s="43">
        <v>3</v>
      </c>
      <c r="K47" s="24">
        <v>10.344799999999999</v>
      </c>
      <c r="L47" s="25">
        <v>22</v>
      </c>
      <c r="M47" s="24">
        <v>75.862099999999998</v>
      </c>
      <c r="N47" s="25">
        <v>0</v>
      </c>
      <c r="O47" s="24">
        <v>0</v>
      </c>
      <c r="P47" s="47">
        <v>0</v>
      </c>
      <c r="Q47" s="27">
        <v>0</v>
      </c>
      <c r="R47" s="23">
        <v>10</v>
      </c>
      <c r="S47" s="27">
        <v>34.482799999999997</v>
      </c>
      <c r="T47" s="44">
        <v>3</v>
      </c>
      <c r="U47" s="27">
        <v>10.344799999999999</v>
      </c>
      <c r="V47" s="23">
        <v>0</v>
      </c>
      <c r="W47" s="29">
        <v>0</v>
      </c>
      <c r="X47" s="30">
        <v>312</v>
      </c>
      <c r="Y47" s="31">
        <v>100</v>
      </c>
    </row>
    <row r="48" spans="1:25" s="32" customFormat="1" ht="15" customHeight="1" x14ac:dyDescent="0.25">
      <c r="A48" s="21" t="s">
        <v>18</v>
      </c>
      <c r="B48" s="33" t="s">
        <v>59</v>
      </c>
      <c r="C48" s="34">
        <v>250</v>
      </c>
      <c r="D48" s="35">
        <v>0</v>
      </c>
      <c r="E48" s="36">
        <v>0</v>
      </c>
      <c r="F48" s="45">
        <v>2</v>
      </c>
      <c r="G48" s="36">
        <v>0.8</v>
      </c>
      <c r="H48" s="37">
        <v>7</v>
      </c>
      <c r="I48" s="36">
        <v>2.8</v>
      </c>
      <c r="J48" s="37">
        <v>190</v>
      </c>
      <c r="K48" s="36">
        <v>76</v>
      </c>
      <c r="L48" s="37">
        <v>48</v>
      </c>
      <c r="M48" s="36">
        <v>19.2</v>
      </c>
      <c r="N48" s="37">
        <v>0</v>
      </c>
      <c r="O48" s="36">
        <v>0</v>
      </c>
      <c r="P48" s="48">
        <v>3</v>
      </c>
      <c r="Q48" s="38">
        <v>1.2</v>
      </c>
      <c r="R48" s="35">
        <v>59</v>
      </c>
      <c r="S48" s="38">
        <v>23.6</v>
      </c>
      <c r="T48" s="46">
        <v>6</v>
      </c>
      <c r="U48" s="38">
        <v>2.4</v>
      </c>
      <c r="V48" s="35">
        <v>3</v>
      </c>
      <c r="W48" s="39">
        <v>1.2</v>
      </c>
      <c r="X48" s="40">
        <v>1243</v>
      </c>
      <c r="Y48" s="41">
        <v>100</v>
      </c>
    </row>
    <row r="49" spans="1:25" s="32" customFormat="1" ht="15" customHeight="1" x14ac:dyDescent="0.25">
      <c r="A49" s="21" t="s">
        <v>18</v>
      </c>
      <c r="B49" s="42" t="s">
        <v>60</v>
      </c>
      <c r="C49" s="22">
        <v>42</v>
      </c>
      <c r="D49" s="23">
        <v>4</v>
      </c>
      <c r="E49" s="24">
        <v>9.5237999999999996</v>
      </c>
      <c r="F49" s="43">
        <v>0</v>
      </c>
      <c r="G49" s="24">
        <v>0</v>
      </c>
      <c r="H49" s="25">
        <v>3</v>
      </c>
      <c r="I49" s="24">
        <v>7.1429</v>
      </c>
      <c r="J49" s="43">
        <v>3</v>
      </c>
      <c r="K49" s="24">
        <v>7.1429</v>
      </c>
      <c r="L49" s="25">
        <v>30</v>
      </c>
      <c r="M49" s="24">
        <v>71.428600000000003</v>
      </c>
      <c r="N49" s="25">
        <v>0</v>
      </c>
      <c r="O49" s="24">
        <v>0</v>
      </c>
      <c r="P49" s="47">
        <v>2</v>
      </c>
      <c r="Q49" s="27">
        <v>4.7618999999999998</v>
      </c>
      <c r="R49" s="23">
        <v>17</v>
      </c>
      <c r="S49" s="27">
        <v>40.476199999999999</v>
      </c>
      <c r="T49" s="44">
        <v>1</v>
      </c>
      <c r="U49" s="27">
        <v>2.3809999999999998</v>
      </c>
      <c r="V49" s="23">
        <v>0</v>
      </c>
      <c r="W49" s="29">
        <v>0</v>
      </c>
      <c r="X49" s="30">
        <v>698</v>
      </c>
      <c r="Y49" s="31">
        <v>100</v>
      </c>
    </row>
    <row r="50" spans="1:25" s="32" customFormat="1" ht="15" customHeight="1" x14ac:dyDescent="0.25">
      <c r="A50" s="21" t="s">
        <v>18</v>
      </c>
      <c r="B50" s="33" t="s">
        <v>61</v>
      </c>
      <c r="C50" s="34">
        <v>124</v>
      </c>
      <c r="D50" s="35">
        <v>0</v>
      </c>
      <c r="E50" s="36">
        <v>0</v>
      </c>
      <c r="F50" s="45">
        <v>1</v>
      </c>
      <c r="G50" s="36">
        <v>0.80649999999999999</v>
      </c>
      <c r="H50" s="37">
        <v>7</v>
      </c>
      <c r="I50" s="36">
        <v>5.6452</v>
      </c>
      <c r="J50" s="37">
        <v>17</v>
      </c>
      <c r="K50" s="36">
        <v>13.7097</v>
      </c>
      <c r="L50" s="37">
        <v>94</v>
      </c>
      <c r="M50" s="36">
        <v>75.8065</v>
      </c>
      <c r="N50" s="37">
        <v>0</v>
      </c>
      <c r="O50" s="36">
        <v>0</v>
      </c>
      <c r="P50" s="48">
        <v>5</v>
      </c>
      <c r="Q50" s="38">
        <v>4.0323000000000002</v>
      </c>
      <c r="R50" s="35">
        <v>19</v>
      </c>
      <c r="S50" s="38">
        <v>15.3226</v>
      </c>
      <c r="T50" s="46">
        <v>3</v>
      </c>
      <c r="U50" s="38">
        <v>2.4194</v>
      </c>
      <c r="V50" s="35">
        <v>0</v>
      </c>
      <c r="W50" s="39">
        <v>0</v>
      </c>
      <c r="X50" s="40">
        <v>1777</v>
      </c>
      <c r="Y50" s="41">
        <v>100</v>
      </c>
    </row>
    <row r="51" spans="1:25" s="32" customFormat="1" ht="15" customHeight="1" x14ac:dyDescent="0.25">
      <c r="A51" s="21" t="s">
        <v>18</v>
      </c>
      <c r="B51" s="42" t="s">
        <v>62</v>
      </c>
      <c r="C51" s="22">
        <v>325</v>
      </c>
      <c r="D51" s="23">
        <v>2</v>
      </c>
      <c r="E51" s="24">
        <v>0.61539999999999995</v>
      </c>
      <c r="F51" s="43">
        <v>3</v>
      </c>
      <c r="G51" s="24">
        <v>0.92310000000000003</v>
      </c>
      <c r="H51" s="25">
        <v>160</v>
      </c>
      <c r="I51" s="24">
        <v>49.230800000000002</v>
      </c>
      <c r="J51" s="43">
        <v>80</v>
      </c>
      <c r="K51" s="24">
        <v>24.615400000000001</v>
      </c>
      <c r="L51" s="25">
        <v>69</v>
      </c>
      <c r="M51" s="24">
        <v>21.230799999999999</v>
      </c>
      <c r="N51" s="25">
        <v>0</v>
      </c>
      <c r="O51" s="24">
        <v>0</v>
      </c>
      <c r="P51" s="47">
        <v>11</v>
      </c>
      <c r="Q51" s="27">
        <v>3.3845999999999998</v>
      </c>
      <c r="R51" s="23">
        <v>69</v>
      </c>
      <c r="S51" s="27">
        <v>21.230799999999999</v>
      </c>
      <c r="T51" s="44">
        <v>29</v>
      </c>
      <c r="U51" s="27">
        <v>8.9230999999999998</v>
      </c>
      <c r="V51" s="23">
        <v>60</v>
      </c>
      <c r="W51" s="29">
        <v>18.461500000000001</v>
      </c>
      <c r="X51" s="30">
        <v>8758</v>
      </c>
      <c r="Y51" s="31">
        <v>100</v>
      </c>
    </row>
    <row r="52" spans="1:25" s="32" customFormat="1" ht="15" customHeight="1" x14ac:dyDescent="0.25">
      <c r="A52" s="21" t="s">
        <v>18</v>
      </c>
      <c r="B52" s="33" t="s">
        <v>63</v>
      </c>
      <c r="C52" s="34">
        <v>329</v>
      </c>
      <c r="D52" s="35">
        <v>15</v>
      </c>
      <c r="E52" s="36">
        <v>4.5593000000000004</v>
      </c>
      <c r="F52" s="45">
        <v>1</v>
      </c>
      <c r="G52" s="36">
        <v>0.30399999999999999</v>
      </c>
      <c r="H52" s="37">
        <v>87</v>
      </c>
      <c r="I52" s="36">
        <v>26.4438</v>
      </c>
      <c r="J52" s="37">
        <v>8</v>
      </c>
      <c r="K52" s="36">
        <v>2.4316</v>
      </c>
      <c r="L52" s="37">
        <v>201</v>
      </c>
      <c r="M52" s="36">
        <v>61.094200000000001</v>
      </c>
      <c r="N52" s="37">
        <v>7</v>
      </c>
      <c r="O52" s="36">
        <v>2.1276999999999999</v>
      </c>
      <c r="P52" s="48">
        <v>10</v>
      </c>
      <c r="Q52" s="38">
        <v>3.0394999999999999</v>
      </c>
      <c r="R52" s="35">
        <v>66</v>
      </c>
      <c r="S52" s="38">
        <v>20.0608</v>
      </c>
      <c r="T52" s="46">
        <v>5</v>
      </c>
      <c r="U52" s="38">
        <v>1.5198</v>
      </c>
      <c r="V52" s="35">
        <v>39</v>
      </c>
      <c r="W52" s="39">
        <v>11.854100000000001</v>
      </c>
      <c r="X52" s="40">
        <v>1029</v>
      </c>
      <c r="Y52" s="41">
        <v>100</v>
      </c>
    </row>
    <row r="53" spans="1:25" s="32" customFormat="1" ht="15" customHeight="1" x14ac:dyDescent="0.25">
      <c r="A53" s="21" t="s">
        <v>18</v>
      </c>
      <c r="B53" s="42" t="s">
        <v>64</v>
      </c>
      <c r="C53" s="22">
        <v>102</v>
      </c>
      <c r="D53" s="23">
        <v>0</v>
      </c>
      <c r="E53" s="24">
        <v>0</v>
      </c>
      <c r="F53" s="43">
        <v>1</v>
      </c>
      <c r="G53" s="24">
        <v>0.98040000000000005</v>
      </c>
      <c r="H53" s="25">
        <v>1</v>
      </c>
      <c r="I53" s="24">
        <v>0.98040000000000005</v>
      </c>
      <c r="J53" s="43">
        <v>5</v>
      </c>
      <c r="K53" s="24">
        <v>4.9020000000000001</v>
      </c>
      <c r="L53" s="25">
        <v>93</v>
      </c>
      <c r="M53" s="24">
        <v>91.176500000000004</v>
      </c>
      <c r="N53" s="25">
        <v>0</v>
      </c>
      <c r="O53" s="24">
        <v>0</v>
      </c>
      <c r="P53" s="47">
        <v>2</v>
      </c>
      <c r="Q53" s="27">
        <v>1.9608000000000001</v>
      </c>
      <c r="R53" s="23">
        <v>27</v>
      </c>
      <c r="S53" s="27">
        <v>26.470600000000001</v>
      </c>
      <c r="T53" s="44">
        <v>7</v>
      </c>
      <c r="U53" s="27">
        <v>6.8627000000000002</v>
      </c>
      <c r="V53" s="23">
        <v>0</v>
      </c>
      <c r="W53" s="29">
        <v>0</v>
      </c>
      <c r="X53" s="30">
        <v>302</v>
      </c>
      <c r="Y53" s="31">
        <v>100</v>
      </c>
    </row>
    <row r="54" spans="1:25" s="32" customFormat="1" ht="15" customHeight="1" x14ac:dyDescent="0.25">
      <c r="A54" s="21" t="s">
        <v>18</v>
      </c>
      <c r="B54" s="33" t="s">
        <v>65</v>
      </c>
      <c r="C54" s="34">
        <v>160</v>
      </c>
      <c r="D54" s="35">
        <v>0</v>
      </c>
      <c r="E54" s="36">
        <v>0</v>
      </c>
      <c r="F54" s="45">
        <v>0</v>
      </c>
      <c r="G54" s="36">
        <v>0</v>
      </c>
      <c r="H54" s="37">
        <v>21</v>
      </c>
      <c r="I54" s="36">
        <v>13.125</v>
      </c>
      <c r="J54" s="37">
        <v>107</v>
      </c>
      <c r="K54" s="36">
        <v>66.875</v>
      </c>
      <c r="L54" s="37">
        <v>27</v>
      </c>
      <c r="M54" s="36">
        <v>16.875</v>
      </c>
      <c r="N54" s="37">
        <v>0</v>
      </c>
      <c r="O54" s="36">
        <v>0</v>
      </c>
      <c r="P54" s="48">
        <v>5</v>
      </c>
      <c r="Q54" s="38">
        <v>3.125</v>
      </c>
      <c r="R54" s="35">
        <v>50</v>
      </c>
      <c r="S54" s="38">
        <v>31.25</v>
      </c>
      <c r="T54" s="46">
        <v>1</v>
      </c>
      <c r="U54" s="38">
        <v>0.625</v>
      </c>
      <c r="V54" s="35">
        <v>13</v>
      </c>
      <c r="W54" s="39">
        <v>8.125</v>
      </c>
      <c r="X54" s="40">
        <v>1982</v>
      </c>
      <c r="Y54" s="41">
        <v>98.385000000000005</v>
      </c>
    </row>
    <row r="55" spans="1:25" s="32" customFormat="1" ht="15" customHeight="1" x14ac:dyDescent="0.25">
      <c r="A55" s="21" t="s">
        <v>18</v>
      </c>
      <c r="B55" s="42" t="s">
        <v>66</v>
      </c>
      <c r="C55" s="22">
        <v>346</v>
      </c>
      <c r="D55" s="23">
        <v>7</v>
      </c>
      <c r="E55" s="24">
        <v>2.0230999999999999</v>
      </c>
      <c r="F55" s="43">
        <v>5</v>
      </c>
      <c r="G55" s="24">
        <v>1.4451000000000001</v>
      </c>
      <c r="H55" s="25">
        <v>76</v>
      </c>
      <c r="I55" s="24">
        <v>21.965299999999999</v>
      </c>
      <c r="J55" s="43">
        <v>42</v>
      </c>
      <c r="K55" s="24">
        <v>12.1387</v>
      </c>
      <c r="L55" s="25">
        <v>190</v>
      </c>
      <c r="M55" s="24">
        <v>54.9133</v>
      </c>
      <c r="N55" s="25">
        <v>4</v>
      </c>
      <c r="O55" s="24">
        <v>1.1560999999999999</v>
      </c>
      <c r="P55" s="47">
        <v>22</v>
      </c>
      <c r="Q55" s="27">
        <v>6.3583999999999996</v>
      </c>
      <c r="R55" s="23">
        <v>98</v>
      </c>
      <c r="S55" s="27">
        <v>28.323699999999999</v>
      </c>
      <c r="T55" s="44">
        <v>14</v>
      </c>
      <c r="U55" s="27">
        <v>4.0461999999999998</v>
      </c>
      <c r="V55" s="23">
        <v>35</v>
      </c>
      <c r="W55" s="29">
        <v>10.115600000000001</v>
      </c>
      <c r="X55" s="30">
        <v>2339</v>
      </c>
      <c r="Y55" s="31">
        <v>100</v>
      </c>
    </row>
    <row r="56" spans="1:25" s="32" customFormat="1" ht="15" customHeight="1" x14ac:dyDescent="0.25">
      <c r="A56" s="21" t="s">
        <v>18</v>
      </c>
      <c r="B56" s="33" t="s">
        <v>67</v>
      </c>
      <c r="C56" s="34">
        <v>39</v>
      </c>
      <c r="D56" s="35">
        <v>0</v>
      </c>
      <c r="E56" s="36">
        <v>0</v>
      </c>
      <c r="F56" s="45">
        <v>0</v>
      </c>
      <c r="G56" s="36">
        <v>0</v>
      </c>
      <c r="H56" s="37">
        <v>0</v>
      </c>
      <c r="I56" s="36">
        <v>0</v>
      </c>
      <c r="J56" s="37">
        <v>2</v>
      </c>
      <c r="K56" s="36">
        <v>5.1281999999999996</v>
      </c>
      <c r="L56" s="37">
        <v>36</v>
      </c>
      <c r="M56" s="36">
        <v>92.307699999999997</v>
      </c>
      <c r="N56" s="37">
        <v>0</v>
      </c>
      <c r="O56" s="36">
        <v>0</v>
      </c>
      <c r="P56" s="48">
        <v>1</v>
      </c>
      <c r="Q56" s="38">
        <v>2.5640999999999998</v>
      </c>
      <c r="R56" s="35">
        <v>10</v>
      </c>
      <c r="S56" s="38">
        <v>25.640999999999998</v>
      </c>
      <c r="T56" s="46">
        <v>0</v>
      </c>
      <c r="U56" s="38">
        <v>0</v>
      </c>
      <c r="V56" s="35">
        <v>0</v>
      </c>
      <c r="W56" s="39">
        <v>0</v>
      </c>
      <c r="X56" s="40">
        <v>691</v>
      </c>
      <c r="Y56" s="41">
        <v>100</v>
      </c>
    </row>
    <row r="57" spans="1:25" s="32" customFormat="1" ht="15" customHeight="1" x14ac:dyDescent="0.25">
      <c r="A57" s="21" t="s">
        <v>18</v>
      </c>
      <c r="B57" s="42" t="s">
        <v>68</v>
      </c>
      <c r="C57" s="22">
        <v>411</v>
      </c>
      <c r="D57" s="23">
        <v>4</v>
      </c>
      <c r="E57" s="24">
        <v>0.97319999999999995</v>
      </c>
      <c r="F57" s="43">
        <v>1</v>
      </c>
      <c r="G57" s="24">
        <v>0.24329999999999999</v>
      </c>
      <c r="H57" s="25">
        <v>48</v>
      </c>
      <c r="I57" s="24">
        <v>11.678800000000001</v>
      </c>
      <c r="J57" s="43">
        <v>50</v>
      </c>
      <c r="K57" s="24">
        <v>12.1655</v>
      </c>
      <c r="L57" s="25">
        <v>295</v>
      </c>
      <c r="M57" s="24">
        <v>71.776200000000003</v>
      </c>
      <c r="N57" s="25">
        <v>1</v>
      </c>
      <c r="O57" s="24">
        <v>0.24329999999999999</v>
      </c>
      <c r="P57" s="47">
        <v>12</v>
      </c>
      <c r="Q57" s="27">
        <v>2.9197000000000002</v>
      </c>
      <c r="R57" s="23">
        <v>123</v>
      </c>
      <c r="S57" s="27">
        <v>29.927</v>
      </c>
      <c r="T57" s="44">
        <v>2</v>
      </c>
      <c r="U57" s="27">
        <v>0.48659999999999998</v>
      </c>
      <c r="V57" s="23">
        <v>12</v>
      </c>
      <c r="W57" s="29">
        <v>2.9197000000000002</v>
      </c>
      <c r="X57" s="30">
        <v>2235</v>
      </c>
      <c r="Y57" s="31">
        <v>99.954999999999998</v>
      </c>
    </row>
    <row r="58" spans="1:25" s="32" customFormat="1" ht="15" customHeight="1" x14ac:dyDescent="0.25">
      <c r="A58" s="21" t="s">
        <v>18</v>
      </c>
      <c r="B58" s="33" t="s">
        <v>69</v>
      </c>
      <c r="C58" s="34">
        <v>25</v>
      </c>
      <c r="D58" s="46">
        <v>0</v>
      </c>
      <c r="E58" s="36">
        <v>0</v>
      </c>
      <c r="F58" s="37">
        <v>1</v>
      </c>
      <c r="G58" s="36">
        <v>4</v>
      </c>
      <c r="H58" s="45">
        <v>0</v>
      </c>
      <c r="I58" s="36">
        <v>0</v>
      </c>
      <c r="J58" s="37">
        <v>0</v>
      </c>
      <c r="K58" s="36">
        <v>0</v>
      </c>
      <c r="L58" s="37">
        <v>22</v>
      </c>
      <c r="M58" s="36">
        <v>88</v>
      </c>
      <c r="N58" s="37">
        <v>0</v>
      </c>
      <c r="O58" s="36">
        <v>0</v>
      </c>
      <c r="P58" s="48">
        <v>2</v>
      </c>
      <c r="Q58" s="38">
        <v>8</v>
      </c>
      <c r="R58" s="35">
        <v>2</v>
      </c>
      <c r="S58" s="38">
        <v>8</v>
      </c>
      <c r="T58" s="35">
        <v>2</v>
      </c>
      <c r="U58" s="38">
        <v>8</v>
      </c>
      <c r="V58" s="35">
        <v>0</v>
      </c>
      <c r="W58" s="39">
        <v>0</v>
      </c>
      <c r="X58" s="40">
        <v>366</v>
      </c>
      <c r="Y58" s="41">
        <v>100</v>
      </c>
    </row>
    <row r="59" spans="1:25" s="32" customFormat="1" ht="15" customHeight="1" thickBot="1" x14ac:dyDescent="0.3">
      <c r="A59" s="21" t="s">
        <v>18</v>
      </c>
      <c r="B59" s="42" t="s">
        <v>71</v>
      </c>
      <c r="C59" s="60">
        <v>0</v>
      </c>
      <c r="D59" s="61">
        <v>0</v>
      </c>
      <c r="E59" s="62">
        <v>0</v>
      </c>
      <c r="F59" s="63">
        <v>0</v>
      </c>
      <c r="G59" s="62">
        <v>0</v>
      </c>
      <c r="H59" s="64">
        <v>0</v>
      </c>
      <c r="I59" s="62">
        <v>0</v>
      </c>
      <c r="J59" s="63">
        <v>0</v>
      </c>
      <c r="K59" s="62">
        <v>0</v>
      </c>
      <c r="L59" s="63">
        <v>0</v>
      </c>
      <c r="M59" s="62">
        <v>0</v>
      </c>
      <c r="N59" s="63">
        <v>0</v>
      </c>
      <c r="O59" s="62">
        <v>0</v>
      </c>
      <c r="P59" s="65">
        <v>0</v>
      </c>
      <c r="Q59" s="62">
        <v>0</v>
      </c>
      <c r="R59" s="66">
        <v>0</v>
      </c>
      <c r="S59" s="62">
        <v>0</v>
      </c>
      <c r="T59" s="66">
        <v>0</v>
      </c>
      <c r="U59" s="62">
        <v>0</v>
      </c>
      <c r="V59" s="66">
        <v>0</v>
      </c>
      <c r="W59" s="62">
        <v>0</v>
      </c>
      <c r="X59" s="67">
        <v>1099</v>
      </c>
      <c r="Y59" s="68">
        <v>100</v>
      </c>
    </row>
    <row r="60" spans="1:25" s="51" customFormat="1" ht="15" customHeight="1" x14ac:dyDescent="0.25">
      <c r="A60" s="53"/>
      <c r="B60" s="69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4"/>
      <c r="W60" s="55"/>
      <c r="X60" s="50"/>
      <c r="Y60" s="50"/>
    </row>
    <row r="61" spans="1:25" s="32" customFormat="1" ht="15" customHeight="1" x14ac:dyDescent="0.25">
      <c r="A61" s="21"/>
      <c r="B61" s="58" t="s">
        <v>76</v>
      </c>
      <c r="C61" s="57"/>
      <c r="D61" s="57"/>
      <c r="E61" s="57"/>
      <c r="F61" s="57"/>
      <c r="G61" s="57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7"/>
      <c r="W61" s="57"/>
      <c r="X61" s="56"/>
      <c r="Y61" s="56"/>
    </row>
    <row r="62" spans="1:25" s="51" customFormat="1" ht="28.5" customHeight="1" x14ac:dyDescent="0.25">
      <c r="A62" s="53"/>
      <c r="B62" s="92" t="str">
        <f>CONCATENATE("NOTE: Table reads (for 50 states, District of Columbia, and Puerto Rico Totals):  Of all ",IF(ISTEXT(C7),LEFT(C7,3),TEXT(C7,"#,##0"))," public school students ",LOWER(A7),", ",IF(ISTEXT(D7),LEFT(D7,3),TEXT(D7,"#,##0"))," (", TEXT(E7,"0.0"),"%) were American Indian or Alaska Native, ",IF(ISTEXT(R7),LEFT(R7,3),TEXT(R7,"#,##0"))," (",TEXT(S7,"0.0"),"%) were students with disabilities served under the Individuals with Disabilities Education Act (IDEA), and ",IF(ISTEXT(T7),LEFT(T7,3),TEXT(T7,"#,##0"))," (",TEXT(U7,"0.0"),"%) were students with disabilities served solely under Section 504 of the Rehabilitation Act of 1973.")</f>
        <v>NOTE: Table reads (for 50 states, District of Columbia, and Puerto Rico Totals):  Of all 12,214 public school students disciplined for engaging in harassment or bullying on the basis of disability, 198 (1.6%) were American Indian or Alaska Native, 2,931 (24.0%) were students with disabilities served under the Individuals with Disabilities Education Act (IDEA), and 385 (3.2%) were students with disabilities served solely under Section 504 of the Rehabilitation Act of 1973.</v>
      </c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</row>
    <row r="63" spans="1:25" s="32" customFormat="1" ht="15" customHeight="1" x14ac:dyDescent="0.25">
      <c r="A63" s="21"/>
      <c r="B63" s="91" t="s">
        <v>73</v>
      </c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56"/>
      <c r="Y63" s="56"/>
    </row>
    <row r="64" spans="1:25" s="51" customFormat="1" ht="14.15" customHeight="1" x14ac:dyDescent="0.25">
      <c r="B64" s="91" t="s">
        <v>70</v>
      </c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50"/>
      <c r="Y64" s="49"/>
    </row>
    <row r="65" spans="1:25" s="51" customFormat="1" ht="15" customHeight="1" x14ac:dyDescent="0.3">
      <c r="A65" s="5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5"/>
      <c r="W65" s="6"/>
      <c r="X65" s="50"/>
      <c r="Y65" s="50"/>
    </row>
  </sheetData>
  <sortState xmlns:xlrd2="http://schemas.microsoft.com/office/spreadsheetml/2017/richdata2" ref="B8:Y59">
    <sortCondition ref="B8:B59"/>
  </sortState>
  <mergeCells count="19">
    <mergeCell ref="B64:W64"/>
    <mergeCell ref="B62:Y62"/>
    <mergeCell ref="V4:W5"/>
    <mergeCell ref="X4:X5"/>
    <mergeCell ref="Y4:Y5"/>
    <mergeCell ref="D5:E5"/>
    <mergeCell ref="F5:G5"/>
    <mergeCell ref="H5:I5"/>
    <mergeCell ref="J5:K5"/>
    <mergeCell ref="L5:M5"/>
    <mergeCell ref="N5:O5"/>
    <mergeCell ref="P5:Q5"/>
    <mergeCell ref="B4:B5"/>
    <mergeCell ref="C4:C5"/>
    <mergeCell ref="D4:Q4"/>
    <mergeCell ref="R4:S5"/>
    <mergeCell ref="T4:U5"/>
    <mergeCell ref="B2:Y2"/>
    <mergeCell ref="B63:W63"/>
  </mergeCells>
  <phoneticPr fontId="15" type="noConversion"/>
  <printOptions horizontalCentered="1"/>
  <pageMargins left="0.5" right="0.5" top="1" bottom="1" header="0.5" footer="0.5"/>
  <pageSetup paperSize="3" scale="58" orientation="landscape" horizontalDpi="4294967292" verticalDpi="4294967292" r:id="rId1"/>
  <extLst>
    <ext xmlns:mx="http://schemas.microsoft.com/office/mac/excel/2008/main" uri="{64002731-A6B0-56B0-2670-7721B7C09600}">
      <mx:PLV Mode="0" OnePage="0" WScale="4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Y65"/>
  <sheetViews>
    <sheetView showGridLines="0" topLeftCell="A61" zoomScale="80" zoomScaleNormal="80" workbookViewId="0">
      <selection activeCell="E9" sqref="E9"/>
    </sheetView>
  </sheetViews>
  <sheetFormatPr defaultColWidth="12.109375" defaultRowHeight="15" customHeight="1" x14ac:dyDescent="0.3"/>
  <cols>
    <col min="1" max="1" width="16" style="10" customWidth="1"/>
    <col min="2" max="2" width="57.77734375" style="1" customWidth="1"/>
    <col min="3" max="21" width="15" style="1" customWidth="1"/>
    <col min="22" max="22" width="15" style="5" customWidth="1"/>
    <col min="23" max="23" width="15" style="6" customWidth="1"/>
    <col min="24" max="25" width="15" style="1" customWidth="1"/>
    <col min="26" max="16384" width="12.109375" style="7"/>
  </cols>
  <sheetData>
    <row r="2" spans="1:25" s="2" customFormat="1" ht="15" customHeight="1" x14ac:dyDescent="0.4">
      <c r="A2" s="9"/>
      <c r="B2" s="90" t="str">
        <f>CONCATENATE("Number and percentage of public school male students ", LOWER(A7), ", by race/ethnicity, disability status, and English proficiency, by state: School Year 2017-18")</f>
        <v>Number and percentage of public school male students disciplined for engaging in harassment or bullying on the basis of disability, by race/ethnicity, disability status, and English proficiency, by state: School Year 2017-18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</row>
    <row r="3" spans="1:25" s="1" customFormat="1" ht="15" customHeight="1" thickBot="1" x14ac:dyDescent="0.35">
      <c r="A3" s="8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  <c r="X3" s="4"/>
      <c r="Y3" s="4"/>
    </row>
    <row r="4" spans="1:25" s="12" customFormat="1" ht="25" customHeight="1" x14ac:dyDescent="0.25">
      <c r="A4" s="11"/>
      <c r="B4" s="102" t="s">
        <v>0</v>
      </c>
      <c r="C4" s="104" t="s">
        <v>1</v>
      </c>
      <c r="D4" s="83" t="s">
        <v>74</v>
      </c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5"/>
      <c r="R4" s="86" t="s">
        <v>2</v>
      </c>
      <c r="S4" s="87"/>
      <c r="T4" s="86" t="s">
        <v>3</v>
      </c>
      <c r="U4" s="87"/>
      <c r="V4" s="86" t="s">
        <v>4</v>
      </c>
      <c r="W4" s="87"/>
      <c r="X4" s="93" t="s">
        <v>5</v>
      </c>
      <c r="Y4" s="95" t="s">
        <v>6</v>
      </c>
    </row>
    <row r="5" spans="1:25" s="12" customFormat="1" ht="25" customHeight="1" x14ac:dyDescent="0.3">
      <c r="A5" s="11"/>
      <c r="B5" s="103"/>
      <c r="C5" s="105"/>
      <c r="D5" s="97" t="s">
        <v>7</v>
      </c>
      <c r="E5" s="98"/>
      <c r="F5" s="99" t="s">
        <v>8</v>
      </c>
      <c r="G5" s="98"/>
      <c r="H5" s="100" t="s">
        <v>9</v>
      </c>
      <c r="I5" s="98"/>
      <c r="J5" s="100" t="s">
        <v>10</v>
      </c>
      <c r="K5" s="98"/>
      <c r="L5" s="100" t="s">
        <v>11</v>
      </c>
      <c r="M5" s="98"/>
      <c r="N5" s="100" t="s">
        <v>12</v>
      </c>
      <c r="O5" s="98"/>
      <c r="P5" s="100" t="s">
        <v>13</v>
      </c>
      <c r="Q5" s="101"/>
      <c r="R5" s="88"/>
      <c r="S5" s="89"/>
      <c r="T5" s="88"/>
      <c r="U5" s="89"/>
      <c r="V5" s="88"/>
      <c r="W5" s="89"/>
      <c r="X5" s="94"/>
      <c r="Y5" s="96"/>
    </row>
    <row r="6" spans="1:25" s="12" customFormat="1" ht="15" customHeight="1" thickBot="1" x14ac:dyDescent="0.35">
      <c r="A6" s="11"/>
      <c r="B6" s="13"/>
      <c r="C6" s="52"/>
      <c r="D6" s="14" t="s">
        <v>14</v>
      </c>
      <c r="E6" s="15" t="s">
        <v>15</v>
      </c>
      <c r="F6" s="16" t="s">
        <v>14</v>
      </c>
      <c r="G6" s="15" t="s">
        <v>15</v>
      </c>
      <c r="H6" s="16" t="s">
        <v>14</v>
      </c>
      <c r="I6" s="15" t="s">
        <v>15</v>
      </c>
      <c r="J6" s="16" t="s">
        <v>14</v>
      </c>
      <c r="K6" s="15" t="s">
        <v>15</v>
      </c>
      <c r="L6" s="16" t="s">
        <v>14</v>
      </c>
      <c r="M6" s="15" t="s">
        <v>15</v>
      </c>
      <c r="N6" s="16" t="s">
        <v>14</v>
      </c>
      <c r="O6" s="15" t="s">
        <v>15</v>
      </c>
      <c r="P6" s="16" t="s">
        <v>14</v>
      </c>
      <c r="Q6" s="17" t="s">
        <v>15</v>
      </c>
      <c r="R6" s="14" t="s">
        <v>14</v>
      </c>
      <c r="S6" s="18" t="s">
        <v>75</v>
      </c>
      <c r="T6" s="14" t="s">
        <v>14</v>
      </c>
      <c r="U6" s="18" t="s">
        <v>75</v>
      </c>
      <c r="V6" s="16" t="s">
        <v>14</v>
      </c>
      <c r="W6" s="18" t="s">
        <v>16</v>
      </c>
      <c r="X6" s="19"/>
      <c r="Y6" s="20"/>
    </row>
    <row r="7" spans="1:25" s="32" customFormat="1" ht="15" customHeight="1" x14ac:dyDescent="0.25">
      <c r="A7" s="21" t="str">
        <f xml:space="preserve"> Total!A7</f>
        <v>disciplined for engaging in harassment or bullying on the basis of disability</v>
      </c>
      <c r="B7" s="59" t="s">
        <v>72</v>
      </c>
      <c r="C7" s="22">
        <v>9494</v>
      </c>
      <c r="D7" s="23">
        <v>139</v>
      </c>
      <c r="E7" s="24">
        <v>1.4641</v>
      </c>
      <c r="F7" s="25">
        <v>164</v>
      </c>
      <c r="G7" s="24">
        <v>1.7274</v>
      </c>
      <c r="H7" s="25">
        <v>2021</v>
      </c>
      <c r="I7" s="24">
        <v>21.287099999999999</v>
      </c>
      <c r="J7" s="25">
        <v>1892</v>
      </c>
      <c r="K7" s="24">
        <v>19.9284</v>
      </c>
      <c r="L7" s="25">
        <v>4866</v>
      </c>
      <c r="M7" s="24">
        <v>51.253399999999999</v>
      </c>
      <c r="N7" s="25">
        <v>53</v>
      </c>
      <c r="O7" s="24">
        <v>0.55820000000000003</v>
      </c>
      <c r="P7" s="26">
        <v>359</v>
      </c>
      <c r="Q7" s="27">
        <v>3.7812999999999999</v>
      </c>
      <c r="R7" s="28">
        <v>2421</v>
      </c>
      <c r="S7" s="27">
        <v>25.500299999999999</v>
      </c>
      <c r="T7" s="28">
        <v>326</v>
      </c>
      <c r="U7" s="27">
        <v>3.4337</v>
      </c>
      <c r="V7" s="28">
        <v>689</v>
      </c>
      <c r="W7" s="29">
        <v>7.2572000000000001</v>
      </c>
      <c r="X7" s="30">
        <v>97632</v>
      </c>
      <c r="Y7" s="31">
        <v>99.204999999999998</v>
      </c>
    </row>
    <row r="8" spans="1:25" s="32" customFormat="1" ht="15" customHeight="1" x14ac:dyDescent="0.25">
      <c r="A8" s="21" t="s">
        <v>18</v>
      </c>
      <c r="B8" s="33" t="s">
        <v>19</v>
      </c>
      <c r="C8" s="34">
        <v>91</v>
      </c>
      <c r="D8" s="35">
        <v>0</v>
      </c>
      <c r="E8" s="36">
        <v>0</v>
      </c>
      <c r="F8" s="45">
        <v>2</v>
      </c>
      <c r="G8" s="36">
        <v>2.1978</v>
      </c>
      <c r="H8" s="37">
        <v>2</v>
      </c>
      <c r="I8" s="36">
        <v>2.1978</v>
      </c>
      <c r="J8" s="37">
        <v>42</v>
      </c>
      <c r="K8" s="36">
        <v>46.153799999999997</v>
      </c>
      <c r="L8" s="37">
        <v>44</v>
      </c>
      <c r="M8" s="36">
        <v>48.351599999999998</v>
      </c>
      <c r="N8" s="37">
        <v>0</v>
      </c>
      <c r="O8" s="36">
        <v>0</v>
      </c>
      <c r="P8" s="48">
        <v>1</v>
      </c>
      <c r="Q8" s="38">
        <v>1.0989</v>
      </c>
      <c r="R8" s="35">
        <v>17</v>
      </c>
      <c r="S8" s="38">
        <v>18.6813</v>
      </c>
      <c r="T8" s="46">
        <v>2</v>
      </c>
      <c r="U8" s="38">
        <v>2.1978</v>
      </c>
      <c r="V8" s="35">
        <v>0</v>
      </c>
      <c r="W8" s="39">
        <v>0</v>
      </c>
      <c r="X8" s="40">
        <v>1390</v>
      </c>
      <c r="Y8" s="41">
        <v>94.028999999999996</v>
      </c>
    </row>
    <row r="9" spans="1:25" s="32" customFormat="1" ht="15" customHeight="1" x14ac:dyDescent="0.25">
      <c r="A9" s="21" t="s">
        <v>18</v>
      </c>
      <c r="B9" s="42" t="s">
        <v>20</v>
      </c>
      <c r="C9" s="22">
        <v>17</v>
      </c>
      <c r="D9" s="23">
        <v>6</v>
      </c>
      <c r="E9" s="24">
        <v>35.2941</v>
      </c>
      <c r="F9" s="43">
        <v>9</v>
      </c>
      <c r="G9" s="24">
        <v>52.941200000000002</v>
      </c>
      <c r="H9" s="25">
        <v>0</v>
      </c>
      <c r="I9" s="24">
        <v>0</v>
      </c>
      <c r="J9" s="43">
        <v>0</v>
      </c>
      <c r="K9" s="24">
        <v>0</v>
      </c>
      <c r="L9" s="25">
        <v>0</v>
      </c>
      <c r="M9" s="24">
        <v>0</v>
      </c>
      <c r="N9" s="25">
        <v>2</v>
      </c>
      <c r="O9" s="24">
        <v>11.764699999999999</v>
      </c>
      <c r="P9" s="47">
        <v>0</v>
      </c>
      <c r="Q9" s="24">
        <v>0</v>
      </c>
      <c r="R9" s="23">
        <v>1</v>
      </c>
      <c r="S9" s="24">
        <v>5.8823999999999996</v>
      </c>
      <c r="T9" s="44">
        <v>1</v>
      </c>
      <c r="U9" s="24">
        <v>5.8823999999999996</v>
      </c>
      <c r="V9" s="23">
        <v>5</v>
      </c>
      <c r="W9" s="24">
        <v>29.411799999999999</v>
      </c>
      <c r="X9" s="30">
        <v>506</v>
      </c>
      <c r="Y9" s="31">
        <v>100</v>
      </c>
    </row>
    <row r="10" spans="1:25" s="32" customFormat="1" ht="15" customHeight="1" x14ac:dyDescent="0.25">
      <c r="A10" s="21" t="s">
        <v>18</v>
      </c>
      <c r="B10" s="33" t="s">
        <v>21</v>
      </c>
      <c r="C10" s="34">
        <v>277</v>
      </c>
      <c r="D10" s="35">
        <v>15</v>
      </c>
      <c r="E10" s="36">
        <v>5.4151999999999996</v>
      </c>
      <c r="F10" s="45">
        <v>1</v>
      </c>
      <c r="G10" s="36">
        <v>0.36099999999999999</v>
      </c>
      <c r="H10" s="37">
        <v>97</v>
      </c>
      <c r="I10" s="36">
        <v>35.018099999999997</v>
      </c>
      <c r="J10" s="37">
        <v>41</v>
      </c>
      <c r="K10" s="36">
        <v>14.801399999999999</v>
      </c>
      <c r="L10" s="37">
        <v>116</v>
      </c>
      <c r="M10" s="36">
        <v>41.877299999999998</v>
      </c>
      <c r="N10" s="37">
        <v>1</v>
      </c>
      <c r="O10" s="36">
        <v>0.36099999999999999</v>
      </c>
      <c r="P10" s="48">
        <v>6</v>
      </c>
      <c r="Q10" s="38">
        <v>2.1661000000000001</v>
      </c>
      <c r="R10" s="35">
        <v>50</v>
      </c>
      <c r="S10" s="38">
        <v>18.0505</v>
      </c>
      <c r="T10" s="46">
        <v>9</v>
      </c>
      <c r="U10" s="38">
        <v>3.2490999999999999</v>
      </c>
      <c r="V10" s="35">
        <v>11</v>
      </c>
      <c r="W10" s="39">
        <v>3.9710999999999999</v>
      </c>
      <c r="X10" s="40">
        <v>2000</v>
      </c>
      <c r="Y10" s="41">
        <v>99.95</v>
      </c>
    </row>
    <row r="11" spans="1:25" s="32" customFormat="1" ht="15" customHeight="1" x14ac:dyDescent="0.25">
      <c r="A11" s="21" t="s">
        <v>18</v>
      </c>
      <c r="B11" s="42" t="s">
        <v>22</v>
      </c>
      <c r="C11" s="22">
        <v>79</v>
      </c>
      <c r="D11" s="23">
        <v>0</v>
      </c>
      <c r="E11" s="24">
        <v>0</v>
      </c>
      <c r="F11" s="43">
        <v>0</v>
      </c>
      <c r="G11" s="24">
        <v>0</v>
      </c>
      <c r="H11" s="25">
        <v>6</v>
      </c>
      <c r="I11" s="24">
        <v>7.5949</v>
      </c>
      <c r="J11" s="43">
        <v>23</v>
      </c>
      <c r="K11" s="24">
        <v>29.113900000000001</v>
      </c>
      <c r="L11" s="25">
        <v>48</v>
      </c>
      <c r="M11" s="24">
        <v>60.759500000000003</v>
      </c>
      <c r="N11" s="25">
        <v>0</v>
      </c>
      <c r="O11" s="24">
        <v>0</v>
      </c>
      <c r="P11" s="47">
        <v>2</v>
      </c>
      <c r="Q11" s="27">
        <v>2.5316000000000001</v>
      </c>
      <c r="R11" s="23">
        <v>23</v>
      </c>
      <c r="S11" s="27">
        <v>29.113900000000001</v>
      </c>
      <c r="T11" s="44">
        <v>3</v>
      </c>
      <c r="U11" s="27">
        <v>3.7974999999999999</v>
      </c>
      <c r="V11" s="23">
        <v>4</v>
      </c>
      <c r="W11" s="29">
        <v>5.0632999999999999</v>
      </c>
      <c r="X11" s="30">
        <v>1088</v>
      </c>
      <c r="Y11" s="31">
        <v>100</v>
      </c>
    </row>
    <row r="12" spans="1:25" s="32" customFormat="1" ht="15" customHeight="1" x14ac:dyDescent="0.25">
      <c r="A12" s="21" t="s">
        <v>18</v>
      </c>
      <c r="B12" s="33" t="s">
        <v>23</v>
      </c>
      <c r="C12" s="34">
        <v>1009</v>
      </c>
      <c r="D12" s="35">
        <v>13</v>
      </c>
      <c r="E12" s="36">
        <v>1.2884</v>
      </c>
      <c r="F12" s="45">
        <v>33</v>
      </c>
      <c r="G12" s="36">
        <v>3.2706</v>
      </c>
      <c r="H12" s="37">
        <v>519</v>
      </c>
      <c r="I12" s="36">
        <v>51.437100000000001</v>
      </c>
      <c r="J12" s="37">
        <v>142</v>
      </c>
      <c r="K12" s="36">
        <v>14.0733</v>
      </c>
      <c r="L12" s="37">
        <v>253</v>
      </c>
      <c r="M12" s="36">
        <v>25.074300000000001</v>
      </c>
      <c r="N12" s="37">
        <v>8</v>
      </c>
      <c r="O12" s="36">
        <v>0.79290000000000005</v>
      </c>
      <c r="P12" s="48">
        <v>41</v>
      </c>
      <c r="Q12" s="38">
        <v>4.0633999999999997</v>
      </c>
      <c r="R12" s="35">
        <v>200</v>
      </c>
      <c r="S12" s="38">
        <v>19.8216</v>
      </c>
      <c r="T12" s="46">
        <v>24</v>
      </c>
      <c r="U12" s="38">
        <v>2.3786</v>
      </c>
      <c r="V12" s="35">
        <v>173</v>
      </c>
      <c r="W12" s="39">
        <v>17.145700000000001</v>
      </c>
      <c r="X12" s="40">
        <v>10121</v>
      </c>
      <c r="Y12" s="41">
        <v>99.239000000000004</v>
      </c>
    </row>
    <row r="13" spans="1:25" s="32" customFormat="1" ht="15" customHeight="1" x14ac:dyDescent="0.25">
      <c r="A13" s="21" t="s">
        <v>18</v>
      </c>
      <c r="B13" s="42" t="s">
        <v>24</v>
      </c>
      <c r="C13" s="22">
        <v>47</v>
      </c>
      <c r="D13" s="23">
        <v>0</v>
      </c>
      <c r="E13" s="24">
        <v>0</v>
      </c>
      <c r="F13" s="43">
        <v>0</v>
      </c>
      <c r="G13" s="24">
        <v>0</v>
      </c>
      <c r="H13" s="25">
        <v>12</v>
      </c>
      <c r="I13" s="24">
        <v>25.5319</v>
      </c>
      <c r="J13" s="43">
        <v>1</v>
      </c>
      <c r="K13" s="24">
        <v>2.1276999999999999</v>
      </c>
      <c r="L13" s="25">
        <v>33</v>
      </c>
      <c r="M13" s="24">
        <v>70.212800000000001</v>
      </c>
      <c r="N13" s="25">
        <v>0</v>
      </c>
      <c r="O13" s="24">
        <v>0</v>
      </c>
      <c r="P13" s="47">
        <v>1</v>
      </c>
      <c r="Q13" s="27">
        <v>2.1276999999999999</v>
      </c>
      <c r="R13" s="23">
        <v>8</v>
      </c>
      <c r="S13" s="27">
        <v>17.0213</v>
      </c>
      <c r="T13" s="44">
        <v>2</v>
      </c>
      <c r="U13" s="27">
        <v>4.2553000000000001</v>
      </c>
      <c r="V13" s="23">
        <v>3</v>
      </c>
      <c r="W13" s="29">
        <v>6.383</v>
      </c>
      <c r="X13" s="30">
        <v>1908</v>
      </c>
      <c r="Y13" s="31">
        <v>100</v>
      </c>
    </row>
    <row r="14" spans="1:25" s="32" customFormat="1" ht="15" customHeight="1" x14ac:dyDescent="0.25">
      <c r="A14" s="21" t="s">
        <v>18</v>
      </c>
      <c r="B14" s="33" t="s">
        <v>25</v>
      </c>
      <c r="C14" s="34">
        <v>71</v>
      </c>
      <c r="D14" s="35">
        <v>0</v>
      </c>
      <c r="E14" s="36">
        <v>0</v>
      </c>
      <c r="F14" s="45">
        <v>2</v>
      </c>
      <c r="G14" s="36">
        <v>2.8169</v>
      </c>
      <c r="H14" s="37">
        <v>20</v>
      </c>
      <c r="I14" s="36">
        <v>28.169</v>
      </c>
      <c r="J14" s="37">
        <v>6</v>
      </c>
      <c r="K14" s="36">
        <v>8.4506999999999994</v>
      </c>
      <c r="L14" s="37">
        <v>42</v>
      </c>
      <c r="M14" s="36">
        <v>59.154899999999998</v>
      </c>
      <c r="N14" s="37">
        <v>0</v>
      </c>
      <c r="O14" s="36">
        <v>0</v>
      </c>
      <c r="P14" s="48">
        <v>1</v>
      </c>
      <c r="Q14" s="38">
        <v>1.4085000000000001</v>
      </c>
      <c r="R14" s="35">
        <v>24</v>
      </c>
      <c r="S14" s="38">
        <v>33.802799999999998</v>
      </c>
      <c r="T14" s="46">
        <v>7</v>
      </c>
      <c r="U14" s="38">
        <v>9.8591999999999995</v>
      </c>
      <c r="V14" s="35">
        <v>1</v>
      </c>
      <c r="W14" s="39">
        <v>1.4085000000000001</v>
      </c>
      <c r="X14" s="40">
        <v>1214</v>
      </c>
      <c r="Y14" s="41">
        <v>100</v>
      </c>
    </row>
    <row r="15" spans="1:25" s="32" customFormat="1" ht="15" customHeight="1" x14ac:dyDescent="0.25">
      <c r="A15" s="21" t="s">
        <v>18</v>
      </c>
      <c r="B15" s="42" t="s">
        <v>26</v>
      </c>
      <c r="C15" s="22">
        <v>6</v>
      </c>
      <c r="D15" s="23">
        <v>0</v>
      </c>
      <c r="E15" s="24">
        <v>0</v>
      </c>
      <c r="F15" s="43">
        <v>0</v>
      </c>
      <c r="G15" s="24">
        <v>0</v>
      </c>
      <c r="H15" s="25">
        <v>0</v>
      </c>
      <c r="I15" s="24">
        <v>0</v>
      </c>
      <c r="J15" s="43">
        <v>1</v>
      </c>
      <c r="K15" s="24">
        <v>16.666699999999999</v>
      </c>
      <c r="L15" s="25">
        <v>5</v>
      </c>
      <c r="M15" s="24">
        <v>83.333299999999994</v>
      </c>
      <c r="N15" s="25">
        <v>0</v>
      </c>
      <c r="O15" s="24">
        <v>0</v>
      </c>
      <c r="P15" s="47">
        <v>0</v>
      </c>
      <c r="Q15" s="27">
        <v>0</v>
      </c>
      <c r="R15" s="23">
        <v>2</v>
      </c>
      <c r="S15" s="27">
        <v>33.333300000000001</v>
      </c>
      <c r="T15" s="44">
        <v>0</v>
      </c>
      <c r="U15" s="27">
        <v>0</v>
      </c>
      <c r="V15" s="23">
        <v>0</v>
      </c>
      <c r="W15" s="29">
        <v>0</v>
      </c>
      <c r="X15" s="30">
        <v>231</v>
      </c>
      <c r="Y15" s="31">
        <v>100</v>
      </c>
    </row>
    <row r="16" spans="1:25" s="32" customFormat="1" ht="15" customHeight="1" x14ac:dyDescent="0.25">
      <c r="A16" s="21" t="s">
        <v>18</v>
      </c>
      <c r="B16" s="33" t="s">
        <v>27</v>
      </c>
      <c r="C16" s="34">
        <v>5</v>
      </c>
      <c r="D16" s="35">
        <v>0</v>
      </c>
      <c r="E16" s="36">
        <v>0</v>
      </c>
      <c r="F16" s="45">
        <v>0</v>
      </c>
      <c r="G16" s="36">
        <v>0</v>
      </c>
      <c r="H16" s="37">
        <v>1</v>
      </c>
      <c r="I16" s="36">
        <v>20</v>
      </c>
      <c r="J16" s="37">
        <v>3</v>
      </c>
      <c r="K16" s="36">
        <v>60</v>
      </c>
      <c r="L16" s="37">
        <v>1</v>
      </c>
      <c r="M16" s="36">
        <v>20</v>
      </c>
      <c r="N16" s="37">
        <v>0</v>
      </c>
      <c r="O16" s="36">
        <v>0</v>
      </c>
      <c r="P16" s="48">
        <v>0</v>
      </c>
      <c r="Q16" s="38">
        <v>0</v>
      </c>
      <c r="R16" s="35">
        <v>0</v>
      </c>
      <c r="S16" s="38">
        <v>0</v>
      </c>
      <c r="T16" s="46">
        <v>0</v>
      </c>
      <c r="U16" s="38">
        <v>0</v>
      </c>
      <c r="V16" s="35">
        <v>1</v>
      </c>
      <c r="W16" s="39">
        <v>20</v>
      </c>
      <c r="X16" s="40">
        <v>228</v>
      </c>
      <c r="Y16" s="41">
        <v>99.561000000000007</v>
      </c>
    </row>
    <row r="17" spans="1:25" s="32" customFormat="1" ht="15" customHeight="1" x14ac:dyDescent="0.25">
      <c r="A17" s="21" t="s">
        <v>18</v>
      </c>
      <c r="B17" s="42" t="s">
        <v>28</v>
      </c>
      <c r="C17" s="22">
        <v>162</v>
      </c>
      <c r="D17" s="23">
        <v>0</v>
      </c>
      <c r="E17" s="24">
        <v>0</v>
      </c>
      <c r="F17" s="43">
        <v>1</v>
      </c>
      <c r="G17" s="24">
        <v>0.61729999999999996</v>
      </c>
      <c r="H17" s="25">
        <v>40</v>
      </c>
      <c r="I17" s="24">
        <v>24.691400000000002</v>
      </c>
      <c r="J17" s="43">
        <v>53</v>
      </c>
      <c r="K17" s="24">
        <v>32.716000000000001</v>
      </c>
      <c r="L17" s="25">
        <v>61</v>
      </c>
      <c r="M17" s="24">
        <v>37.654299999999999</v>
      </c>
      <c r="N17" s="25">
        <v>0</v>
      </c>
      <c r="O17" s="24">
        <v>0</v>
      </c>
      <c r="P17" s="47">
        <v>7</v>
      </c>
      <c r="Q17" s="27">
        <v>4.3209999999999997</v>
      </c>
      <c r="R17" s="23">
        <v>59</v>
      </c>
      <c r="S17" s="27">
        <v>36.419800000000002</v>
      </c>
      <c r="T17" s="44">
        <v>17</v>
      </c>
      <c r="U17" s="27">
        <v>10.4938</v>
      </c>
      <c r="V17" s="23">
        <v>6</v>
      </c>
      <c r="W17" s="29">
        <v>3.7037</v>
      </c>
      <c r="X17" s="30">
        <v>3976</v>
      </c>
      <c r="Y17" s="31">
        <v>100</v>
      </c>
    </row>
    <row r="18" spans="1:25" s="32" customFormat="1" ht="15" customHeight="1" x14ac:dyDescent="0.25">
      <c r="A18" s="21" t="s">
        <v>18</v>
      </c>
      <c r="B18" s="33" t="s">
        <v>29</v>
      </c>
      <c r="C18" s="34">
        <v>113</v>
      </c>
      <c r="D18" s="35">
        <v>0</v>
      </c>
      <c r="E18" s="36">
        <v>0</v>
      </c>
      <c r="F18" s="45">
        <v>0</v>
      </c>
      <c r="G18" s="36">
        <v>0</v>
      </c>
      <c r="H18" s="37">
        <v>11</v>
      </c>
      <c r="I18" s="36">
        <v>9.7345000000000006</v>
      </c>
      <c r="J18" s="37">
        <v>60</v>
      </c>
      <c r="K18" s="36">
        <v>53.097299999999997</v>
      </c>
      <c r="L18" s="37">
        <v>37</v>
      </c>
      <c r="M18" s="36">
        <v>32.743400000000001</v>
      </c>
      <c r="N18" s="37">
        <v>0</v>
      </c>
      <c r="O18" s="36">
        <v>0</v>
      </c>
      <c r="P18" s="48">
        <v>5</v>
      </c>
      <c r="Q18" s="38">
        <v>4.4248000000000003</v>
      </c>
      <c r="R18" s="35">
        <v>33</v>
      </c>
      <c r="S18" s="38">
        <v>29.203499999999998</v>
      </c>
      <c r="T18" s="46">
        <v>4</v>
      </c>
      <c r="U18" s="38">
        <v>3.5398000000000001</v>
      </c>
      <c r="V18" s="35">
        <v>2</v>
      </c>
      <c r="W18" s="39">
        <v>1.7699</v>
      </c>
      <c r="X18" s="40">
        <v>2416</v>
      </c>
      <c r="Y18" s="41">
        <v>100</v>
      </c>
    </row>
    <row r="19" spans="1:25" s="32" customFormat="1" ht="15" customHeight="1" x14ac:dyDescent="0.25">
      <c r="A19" s="21" t="s">
        <v>18</v>
      </c>
      <c r="B19" s="42" t="s">
        <v>30</v>
      </c>
      <c r="C19" s="22">
        <v>28</v>
      </c>
      <c r="D19" s="23">
        <v>0</v>
      </c>
      <c r="E19" s="24">
        <v>0</v>
      </c>
      <c r="F19" s="43">
        <v>5</v>
      </c>
      <c r="G19" s="24">
        <v>17.857099999999999</v>
      </c>
      <c r="H19" s="25">
        <v>3</v>
      </c>
      <c r="I19" s="24">
        <v>10.7143</v>
      </c>
      <c r="J19" s="43">
        <v>0</v>
      </c>
      <c r="K19" s="24">
        <v>0</v>
      </c>
      <c r="L19" s="25">
        <v>1</v>
      </c>
      <c r="M19" s="24">
        <v>3.5714000000000001</v>
      </c>
      <c r="N19" s="25">
        <v>15</v>
      </c>
      <c r="O19" s="24">
        <v>53.571399999999997</v>
      </c>
      <c r="P19" s="47">
        <v>4</v>
      </c>
      <c r="Q19" s="27">
        <v>14.2857</v>
      </c>
      <c r="R19" s="23">
        <v>20</v>
      </c>
      <c r="S19" s="27">
        <v>71.428600000000003</v>
      </c>
      <c r="T19" s="44">
        <v>20</v>
      </c>
      <c r="U19" s="27">
        <v>71.428600000000003</v>
      </c>
      <c r="V19" s="23">
        <v>20</v>
      </c>
      <c r="W19" s="29">
        <v>71.428600000000003</v>
      </c>
      <c r="X19" s="30">
        <v>292</v>
      </c>
      <c r="Y19" s="31">
        <v>100</v>
      </c>
    </row>
    <row r="20" spans="1:25" s="32" customFormat="1" ht="15" customHeight="1" x14ac:dyDescent="0.25">
      <c r="A20" s="21" t="s">
        <v>18</v>
      </c>
      <c r="B20" s="33" t="s">
        <v>31</v>
      </c>
      <c r="C20" s="34">
        <v>77</v>
      </c>
      <c r="D20" s="35">
        <v>7</v>
      </c>
      <c r="E20" s="36">
        <v>9.0908999999999995</v>
      </c>
      <c r="F20" s="45">
        <v>0</v>
      </c>
      <c r="G20" s="36">
        <v>0</v>
      </c>
      <c r="H20" s="37">
        <v>20</v>
      </c>
      <c r="I20" s="36">
        <v>25.974</v>
      </c>
      <c r="J20" s="37">
        <v>0</v>
      </c>
      <c r="K20" s="36">
        <v>0</v>
      </c>
      <c r="L20" s="37">
        <v>50</v>
      </c>
      <c r="M20" s="36">
        <v>64.935100000000006</v>
      </c>
      <c r="N20" s="37">
        <v>0</v>
      </c>
      <c r="O20" s="36">
        <v>0</v>
      </c>
      <c r="P20" s="48">
        <v>0</v>
      </c>
      <c r="Q20" s="38">
        <v>0</v>
      </c>
      <c r="R20" s="35">
        <v>12</v>
      </c>
      <c r="S20" s="38">
        <v>15.5844</v>
      </c>
      <c r="T20" s="46">
        <v>2</v>
      </c>
      <c r="U20" s="38">
        <v>2.5973999999999999</v>
      </c>
      <c r="V20" s="35">
        <v>2</v>
      </c>
      <c r="W20" s="39">
        <v>2.5973999999999999</v>
      </c>
      <c r="X20" s="40">
        <v>725</v>
      </c>
      <c r="Y20" s="41">
        <v>100</v>
      </c>
    </row>
    <row r="21" spans="1:25" s="32" customFormat="1" ht="15" customHeight="1" x14ac:dyDescent="0.25">
      <c r="A21" s="21" t="s">
        <v>18</v>
      </c>
      <c r="B21" s="42" t="s">
        <v>32</v>
      </c>
      <c r="C21" s="22">
        <v>551</v>
      </c>
      <c r="D21" s="23">
        <v>0</v>
      </c>
      <c r="E21" s="24">
        <v>0</v>
      </c>
      <c r="F21" s="43">
        <v>11</v>
      </c>
      <c r="G21" s="24">
        <v>1.9964</v>
      </c>
      <c r="H21" s="25">
        <v>97</v>
      </c>
      <c r="I21" s="24">
        <v>17.604399999999998</v>
      </c>
      <c r="J21" s="43">
        <v>156</v>
      </c>
      <c r="K21" s="24">
        <v>28.312200000000001</v>
      </c>
      <c r="L21" s="25">
        <v>259</v>
      </c>
      <c r="M21" s="24">
        <v>47.005400000000002</v>
      </c>
      <c r="N21" s="25">
        <v>0</v>
      </c>
      <c r="O21" s="24">
        <v>0</v>
      </c>
      <c r="P21" s="47">
        <v>28</v>
      </c>
      <c r="Q21" s="27">
        <v>5.0816999999999997</v>
      </c>
      <c r="R21" s="23">
        <v>114</v>
      </c>
      <c r="S21" s="27">
        <v>20.689699999999998</v>
      </c>
      <c r="T21" s="44">
        <v>14</v>
      </c>
      <c r="U21" s="27">
        <v>2.5407999999999999</v>
      </c>
      <c r="V21" s="23">
        <v>43</v>
      </c>
      <c r="W21" s="29">
        <v>7.8040000000000003</v>
      </c>
      <c r="X21" s="30">
        <v>4145</v>
      </c>
      <c r="Y21" s="31">
        <v>87.165000000000006</v>
      </c>
    </row>
    <row r="22" spans="1:25" s="32" customFormat="1" ht="15" customHeight="1" x14ac:dyDescent="0.25">
      <c r="A22" s="21" t="s">
        <v>18</v>
      </c>
      <c r="B22" s="33" t="s">
        <v>33</v>
      </c>
      <c r="C22" s="34">
        <v>188</v>
      </c>
      <c r="D22" s="35">
        <v>0</v>
      </c>
      <c r="E22" s="36">
        <v>0</v>
      </c>
      <c r="F22" s="45">
        <v>0</v>
      </c>
      <c r="G22" s="36">
        <v>0</v>
      </c>
      <c r="H22" s="37">
        <v>29</v>
      </c>
      <c r="I22" s="36">
        <v>15.4255</v>
      </c>
      <c r="J22" s="37">
        <v>63</v>
      </c>
      <c r="K22" s="36">
        <v>33.510599999999997</v>
      </c>
      <c r="L22" s="37">
        <v>89</v>
      </c>
      <c r="M22" s="36">
        <v>47.340400000000002</v>
      </c>
      <c r="N22" s="37">
        <v>0</v>
      </c>
      <c r="O22" s="36">
        <v>0</v>
      </c>
      <c r="P22" s="48">
        <v>7</v>
      </c>
      <c r="Q22" s="38">
        <v>3.7233999999999998</v>
      </c>
      <c r="R22" s="35">
        <v>26</v>
      </c>
      <c r="S22" s="38">
        <v>13.829800000000001</v>
      </c>
      <c r="T22" s="46">
        <v>2</v>
      </c>
      <c r="U22" s="38">
        <v>1.0638000000000001</v>
      </c>
      <c r="V22" s="35">
        <v>8</v>
      </c>
      <c r="W22" s="39">
        <v>4.2553000000000001</v>
      </c>
      <c r="X22" s="40">
        <v>1886</v>
      </c>
      <c r="Y22" s="41">
        <v>100</v>
      </c>
    </row>
    <row r="23" spans="1:25" s="32" customFormat="1" ht="15" customHeight="1" x14ac:dyDescent="0.25">
      <c r="A23" s="21" t="s">
        <v>18</v>
      </c>
      <c r="B23" s="42" t="s">
        <v>34</v>
      </c>
      <c r="C23" s="22">
        <v>95</v>
      </c>
      <c r="D23" s="23">
        <v>0</v>
      </c>
      <c r="E23" s="24">
        <v>0</v>
      </c>
      <c r="F23" s="43">
        <v>1</v>
      </c>
      <c r="G23" s="24">
        <v>1.0526</v>
      </c>
      <c r="H23" s="25">
        <v>8</v>
      </c>
      <c r="I23" s="24">
        <v>8.4210999999999991</v>
      </c>
      <c r="J23" s="43">
        <v>7</v>
      </c>
      <c r="K23" s="24">
        <v>7.3684000000000003</v>
      </c>
      <c r="L23" s="25">
        <v>77</v>
      </c>
      <c r="M23" s="24">
        <v>81.052599999999998</v>
      </c>
      <c r="N23" s="25">
        <v>1</v>
      </c>
      <c r="O23" s="24">
        <v>1.0526</v>
      </c>
      <c r="P23" s="47">
        <v>1</v>
      </c>
      <c r="Q23" s="27">
        <v>1.0526</v>
      </c>
      <c r="R23" s="23">
        <v>27</v>
      </c>
      <c r="S23" s="27">
        <v>28.421099999999999</v>
      </c>
      <c r="T23" s="44">
        <v>2</v>
      </c>
      <c r="U23" s="27">
        <v>2.1053000000000002</v>
      </c>
      <c r="V23" s="23">
        <v>6</v>
      </c>
      <c r="W23" s="29">
        <v>6.3158000000000003</v>
      </c>
      <c r="X23" s="30">
        <v>1343</v>
      </c>
      <c r="Y23" s="31">
        <v>100</v>
      </c>
    </row>
    <row r="24" spans="1:25" s="32" customFormat="1" ht="15" customHeight="1" x14ac:dyDescent="0.25">
      <c r="A24" s="21" t="s">
        <v>18</v>
      </c>
      <c r="B24" s="33" t="s">
        <v>35</v>
      </c>
      <c r="C24" s="34">
        <v>102</v>
      </c>
      <c r="D24" s="35">
        <v>1</v>
      </c>
      <c r="E24" s="36">
        <v>0.98040000000000005</v>
      </c>
      <c r="F24" s="45">
        <v>1</v>
      </c>
      <c r="G24" s="36">
        <v>0.98040000000000005</v>
      </c>
      <c r="H24" s="37">
        <v>11</v>
      </c>
      <c r="I24" s="36">
        <v>10.7843</v>
      </c>
      <c r="J24" s="37">
        <v>4</v>
      </c>
      <c r="K24" s="36">
        <v>3.9216000000000002</v>
      </c>
      <c r="L24" s="37">
        <v>80</v>
      </c>
      <c r="M24" s="36">
        <v>78.431399999999996</v>
      </c>
      <c r="N24" s="37">
        <v>0</v>
      </c>
      <c r="O24" s="36">
        <v>0</v>
      </c>
      <c r="P24" s="48">
        <v>5</v>
      </c>
      <c r="Q24" s="38">
        <v>4.9020000000000001</v>
      </c>
      <c r="R24" s="35">
        <v>28</v>
      </c>
      <c r="S24" s="38">
        <v>27.451000000000001</v>
      </c>
      <c r="T24" s="46">
        <v>1</v>
      </c>
      <c r="U24" s="38">
        <v>0.98040000000000005</v>
      </c>
      <c r="V24" s="35">
        <v>3</v>
      </c>
      <c r="W24" s="39">
        <v>2.9411999999999998</v>
      </c>
      <c r="X24" s="40">
        <v>1350</v>
      </c>
      <c r="Y24" s="41">
        <v>100</v>
      </c>
    </row>
    <row r="25" spans="1:25" s="32" customFormat="1" ht="15" customHeight="1" x14ac:dyDescent="0.25">
      <c r="A25" s="21" t="s">
        <v>18</v>
      </c>
      <c r="B25" s="42" t="s">
        <v>36</v>
      </c>
      <c r="C25" s="22">
        <v>110</v>
      </c>
      <c r="D25" s="23">
        <v>0</v>
      </c>
      <c r="E25" s="24">
        <v>0</v>
      </c>
      <c r="F25" s="43">
        <v>1</v>
      </c>
      <c r="G25" s="24">
        <v>0.90910000000000002</v>
      </c>
      <c r="H25" s="25">
        <v>5</v>
      </c>
      <c r="I25" s="24">
        <v>4.5454999999999997</v>
      </c>
      <c r="J25" s="43">
        <v>32</v>
      </c>
      <c r="K25" s="24">
        <v>29.090900000000001</v>
      </c>
      <c r="L25" s="25">
        <v>61</v>
      </c>
      <c r="M25" s="24">
        <v>55.454500000000003</v>
      </c>
      <c r="N25" s="25">
        <v>0</v>
      </c>
      <c r="O25" s="24">
        <v>0</v>
      </c>
      <c r="P25" s="47">
        <v>11</v>
      </c>
      <c r="Q25" s="27">
        <v>10</v>
      </c>
      <c r="R25" s="23">
        <v>17</v>
      </c>
      <c r="S25" s="27">
        <v>15.454499999999999</v>
      </c>
      <c r="T25" s="44">
        <v>4</v>
      </c>
      <c r="U25" s="27">
        <v>3.6364000000000001</v>
      </c>
      <c r="V25" s="23">
        <v>3</v>
      </c>
      <c r="W25" s="29">
        <v>2.7273000000000001</v>
      </c>
      <c r="X25" s="30">
        <v>1401</v>
      </c>
      <c r="Y25" s="31">
        <v>100</v>
      </c>
    </row>
    <row r="26" spans="1:25" s="32" customFormat="1" ht="15" customHeight="1" x14ac:dyDescent="0.25">
      <c r="A26" s="21" t="s">
        <v>18</v>
      </c>
      <c r="B26" s="33" t="s">
        <v>37</v>
      </c>
      <c r="C26" s="34">
        <v>24</v>
      </c>
      <c r="D26" s="35">
        <v>1</v>
      </c>
      <c r="E26" s="36">
        <v>4.1666999999999996</v>
      </c>
      <c r="F26" s="45">
        <v>0</v>
      </c>
      <c r="G26" s="36">
        <v>0</v>
      </c>
      <c r="H26" s="37">
        <v>1</v>
      </c>
      <c r="I26" s="36">
        <v>4.1666999999999996</v>
      </c>
      <c r="J26" s="37">
        <v>14</v>
      </c>
      <c r="K26" s="36">
        <v>58.333300000000001</v>
      </c>
      <c r="L26" s="37">
        <v>7</v>
      </c>
      <c r="M26" s="36">
        <v>29.166699999999999</v>
      </c>
      <c r="N26" s="37">
        <v>0</v>
      </c>
      <c r="O26" s="36">
        <v>0</v>
      </c>
      <c r="P26" s="48">
        <v>1</v>
      </c>
      <c r="Q26" s="38">
        <v>4.1666999999999996</v>
      </c>
      <c r="R26" s="35">
        <v>7</v>
      </c>
      <c r="S26" s="38">
        <v>29.166699999999999</v>
      </c>
      <c r="T26" s="46">
        <v>5</v>
      </c>
      <c r="U26" s="38">
        <v>20.833300000000001</v>
      </c>
      <c r="V26" s="35">
        <v>0</v>
      </c>
      <c r="W26" s="39">
        <v>0</v>
      </c>
      <c r="X26" s="40">
        <v>1365</v>
      </c>
      <c r="Y26" s="41">
        <v>100</v>
      </c>
    </row>
    <row r="27" spans="1:25" s="32" customFormat="1" ht="15" customHeight="1" x14ac:dyDescent="0.25">
      <c r="A27" s="21" t="s">
        <v>18</v>
      </c>
      <c r="B27" s="42" t="s">
        <v>38</v>
      </c>
      <c r="C27" s="22">
        <v>44</v>
      </c>
      <c r="D27" s="23">
        <v>0</v>
      </c>
      <c r="E27" s="24">
        <v>0</v>
      </c>
      <c r="F27" s="43">
        <v>0</v>
      </c>
      <c r="G27" s="24">
        <v>0</v>
      </c>
      <c r="H27" s="25">
        <v>1</v>
      </c>
      <c r="I27" s="24">
        <v>2.2726999999999999</v>
      </c>
      <c r="J27" s="43">
        <v>2</v>
      </c>
      <c r="K27" s="24">
        <v>4.5454999999999997</v>
      </c>
      <c r="L27" s="25">
        <v>39</v>
      </c>
      <c r="M27" s="24">
        <v>88.636399999999995</v>
      </c>
      <c r="N27" s="25">
        <v>0</v>
      </c>
      <c r="O27" s="24">
        <v>0</v>
      </c>
      <c r="P27" s="47">
        <v>2</v>
      </c>
      <c r="Q27" s="27">
        <v>4.5454999999999997</v>
      </c>
      <c r="R27" s="23">
        <v>13</v>
      </c>
      <c r="S27" s="27">
        <v>29.545500000000001</v>
      </c>
      <c r="T27" s="44">
        <v>0</v>
      </c>
      <c r="U27" s="27">
        <v>0</v>
      </c>
      <c r="V27" s="23">
        <v>0</v>
      </c>
      <c r="W27" s="29">
        <v>0</v>
      </c>
      <c r="X27" s="30">
        <v>579</v>
      </c>
      <c r="Y27" s="31">
        <v>100</v>
      </c>
    </row>
    <row r="28" spans="1:25" s="32" customFormat="1" ht="15" customHeight="1" x14ac:dyDescent="0.25">
      <c r="A28" s="21" t="s">
        <v>18</v>
      </c>
      <c r="B28" s="33" t="s">
        <v>39</v>
      </c>
      <c r="C28" s="34">
        <v>75</v>
      </c>
      <c r="D28" s="35">
        <v>0</v>
      </c>
      <c r="E28" s="36">
        <v>0</v>
      </c>
      <c r="F28" s="45">
        <v>1</v>
      </c>
      <c r="G28" s="36">
        <v>1.3332999999999999</v>
      </c>
      <c r="H28" s="37">
        <v>5</v>
      </c>
      <c r="I28" s="36">
        <v>6.6666999999999996</v>
      </c>
      <c r="J28" s="37">
        <v>26</v>
      </c>
      <c r="K28" s="36">
        <v>34.666699999999999</v>
      </c>
      <c r="L28" s="37">
        <v>39</v>
      </c>
      <c r="M28" s="36">
        <v>52</v>
      </c>
      <c r="N28" s="37">
        <v>0</v>
      </c>
      <c r="O28" s="36">
        <v>0</v>
      </c>
      <c r="P28" s="48">
        <v>4</v>
      </c>
      <c r="Q28" s="38">
        <v>5.3333000000000004</v>
      </c>
      <c r="R28" s="35">
        <v>13</v>
      </c>
      <c r="S28" s="38">
        <v>17.333300000000001</v>
      </c>
      <c r="T28" s="46">
        <v>3</v>
      </c>
      <c r="U28" s="38">
        <v>4</v>
      </c>
      <c r="V28" s="35">
        <v>3</v>
      </c>
      <c r="W28" s="39">
        <v>4</v>
      </c>
      <c r="X28" s="40">
        <v>1414</v>
      </c>
      <c r="Y28" s="41">
        <v>100</v>
      </c>
    </row>
    <row r="29" spans="1:25" s="32" customFormat="1" ht="15" customHeight="1" x14ac:dyDescent="0.25">
      <c r="A29" s="21" t="s">
        <v>18</v>
      </c>
      <c r="B29" s="42" t="s">
        <v>40</v>
      </c>
      <c r="C29" s="22">
        <v>124</v>
      </c>
      <c r="D29" s="23">
        <v>2</v>
      </c>
      <c r="E29" s="24">
        <v>1.6129</v>
      </c>
      <c r="F29" s="43">
        <v>2</v>
      </c>
      <c r="G29" s="24">
        <v>1.6129</v>
      </c>
      <c r="H29" s="25">
        <v>26</v>
      </c>
      <c r="I29" s="24">
        <v>20.967700000000001</v>
      </c>
      <c r="J29" s="43">
        <v>19</v>
      </c>
      <c r="K29" s="24">
        <v>15.3226</v>
      </c>
      <c r="L29" s="25">
        <v>71</v>
      </c>
      <c r="M29" s="24">
        <v>57.258099999999999</v>
      </c>
      <c r="N29" s="25">
        <v>0</v>
      </c>
      <c r="O29" s="24">
        <v>0</v>
      </c>
      <c r="P29" s="47">
        <v>4</v>
      </c>
      <c r="Q29" s="27">
        <v>3.2258</v>
      </c>
      <c r="R29" s="23">
        <v>41</v>
      </c>
      <c r="S29" s="27">
        <v>33.064500000000002</v>
      </c>
      <c r="T29" s="44">
        <v>7</v>
      </c>
      <c r="U29" s="27">
        <v>5.6452</v>
      </c>
      <c r="V29" s="23">
        <v>16</v>
      </c>
      <c r="W29" s="29">
        <v>12.9032</v>
      </c>
      <c r="X29" s="30">
        <v>1870</v>
      </c>
      <c r="Y29" s="31">
        <v>99.037000000000006</v>
      </c>
    </row>
    <row r="30" spans="1:25" s="32" customFormat="1" ht="15" customHeight="1" x14ac:dyDescent="0.25">
      <c r="A30" s="21" t="s">
        <v>18</v>
      </c>
      <c r="B30" s="33" t="s">
        <v>41</v>
      </c>
      <c r="C30" s="34">
        <v>442</v>
      </c>
      <c r="D30" s="35">
        <v>3</v>
      </c>
      <c r="E30" s="36">
        <v>0.67869999999999997</v>
      </c>
      <c r="F30" s="45">
        <v>5</v>
      </c>
      <c r="G30" s="36">
        <v>1.1312</v>
      </c>
      <c r="H30" s="37">
        <v>26</v>
      </c>
      <c r="I30" s="36">
        <v>5.8823999999999996</v>
      </c>
      <c r="J30" s="37">
        <v>67</v>
      </c>
      <c r="K30" s="36">
        <v>15.1584</v>
      </c>
      <c r="L30" s="37">
        <v>322</v>
      </c>
      <c r="M30" s="36">
        <v>72.850700000000003</v>
      </c>
      <c r="N30" s="37">
        <v>0</v>
      </c>
      <c r="O30" s="36">
        <v>0</v>
      </c>
      <c r="P30" s="48">
        <v>19</v>
      </c>
      <c r="Q30" s="38">
        <v>4.2986000000000004</v>
      </c>
      <c r="R30" s="35">
        <v>97</v>
      </c>
      <c r="S30" s="38">
        <v>21.945699999999999</v>
      </c>
      <c r="T30" s="46">
        <v>17</v>
      </c>
      <c r="U30" s="38">
        <v>3.8462000000000001</v>
      </c>
      <c r="V30" s="35">
        <v>21</v>
      </c>
      <c r="W30" s="39">
        <v>4.7511000000000001</v>
      </c>
      <c r="X30" s="40">
        <v>3559</v>
      </c>
      <c r="Y30" s="41">
        <v>100</v>
      </c>
    </row>
    <row r="31" spans="1:25" s="32" customFormat="1" ht="15" customHeight="1" x14ac:dyDescent="0.25">
      <c r="A31" s="21" t="s">
        <v>18</v>
      </c>
      <c r="B31" s="42" t="s">
        <v>42</v>
      </c>
      <c r="C31" s="22">
        <v>403</v>
      </c>
      <c r="D31" s="23">
        <v>29</v>
      </c>
      <c r="E31" s="24">
        <v>7.1959999999999997</v>
      </c>
      <c r="F31" s="43">
        <v>10</v>
      </c>
      <c r="G31" s="24">
        <v>2.4813999999999998</v>
      </c>
      <c r="H31" s="25">
        <v>34</v>
      </c>
      <c r="I31" s="24">
        <v>8.4367000000000001</v>
      </c>
      <c r="J31" s="43">
        <v>106</v>
      </c>
      <c r="K31" s="24">
        <v>26.302700000000002</v>
      </c>
      <c r="L31" s="25">
        <v>203</v>
      </c>
      <c r="M31" s="24">
        <v>50.372199999999999</v>
      </c>
      <c r="N31" s="25">
        <v>0</v>
      </c>
      <c r="O31" s="24">
        <v>0</v>
      </c>
      <c r="P31" s="47">
        <v>21</v>
      </c>
      <c r="Q31" s="27">
        <v>5.2108999999999996</v>
      </c>
      <c r="R31" s="23">
        <v>106</v>
      </c>
      <c r="S31" s="27">
        <v>26.302700000000002</v>
      </c>
      <c r="T31" s="44">
        <v>9</v>
      </c>
      <c r="U31" s="27">
        <v>2.2332999999999998</v>
      </c>
      <c r="V31" s="23">
        <v>33</v>
      </c>
      <c r="W31" s="29">
        <v>8.1885999999999992</v>
      </c>
      <c r="X31" s="30">
        <v>2232</v>
      </c>
      <c r="Y31" s="31">
        <v>100</v>
      </c>
    </row>
    <row r="32" spans="1:25" s="32" customFormat="1" ht="15" customHeight="1" x14ac:dyDescent="0.25">
      <c r="A32" s="21" t="s">
        <v>18</v>
      </c>
      <c r="B32" s="33" t="s">
        <v>43</v>
      </c>
      <c r="C32" s="34">
        <v>56</v>
      </c>
      <c r="D32" s="35">
        <v>0</v>
      </c>
      <c r="E32" s="36">
        <v>0</v>
      </c>
      <c r="F32" s="45">
        <v>1</v>
      </c>
      <c r="G32" s="36">
        <v>1.7857000000000001</v>
      </c>
      <c r="H32" s="37">
        <v>0</v>
      </c>
      <c r="I32" s="36">
        <v>0</v>
      </c>
      <c r="J32" s="37">
        <v>28</v>
      </c>
      <c r="K32" s="36">
        <v>50</v>
      </c>
      <c r="L32" s="37">
        <v>27</v>
      </c>
      <c r="M32" s="36">
        <v>48.214300000000001</v>
      </c>
      <c r="N32" s="37">
        <v>0</v>
      </c>
      <c r="O32" s="36">
        <v>0</v>
      </c>
      <c r="P32" s="48">
        <v>0</v>
      </c>
      <c r="Q32" s="38">
        <v>0</v>
      </c>
      <c r="R32" s="35">
        <v>14</v>
      </c>
      <c r="S32" s="38">
        <v>25</v>
      </c>
      <c r="T32" s="46">
        <v>0</v>
      </c>
      <c r="U32" s="38">
        <v>0</v>
      </c>
      <c r="V32" s="35">
        <v>0</v>
      </c>
      <c r="W32" s="39">
        <v>0</v>
      </c>
      <c r="X32" s="40">
        <v>960</v>
      </c>
      <c r="Y32" s="41">
        <v>100</v>
      </c>
    </row>
    <row r="33" spans="1:25" s="32" customFormat="1" ht="15" customHeight="1" x14ac:dyDescent="0.25">
      <c r="A33" s="21" t="s">
        <v>18</v>
      </c>
      <c r="B33" s="42" t="s">
        <v>44</v>
      </c>
      <c r="C33" s="22">
        <v>366</v>
      </c>
      <c r="D33" s="23">
        <v>1</v>
      </c>
      <c r="E33" s="24">
        <v>0.2732</v>
      </c>
      <c r="F33" s="43">
        <v>2</v>
      </c>
      <c r="G33" s="24">
        <v>0.5464</v>
      </c>
      <c r="H33" s="25">
        <v>10</v>
      </c>
      <c r="I33" s="24">
        <v>2.7322000000000002</v>
      </c>
      <c r="J33" s="43">
        <v>122</v>
      </c>
      <c r="K33" s="24">
        <v>33.333300000000001</v>
      </c>
      <c r="L33" s="25">
        <v>217</v>
      </c>
      <c r="M33" s="24">
        <v>59.2896</v>
      </c>
      <c r="N33" s="25">
        <v>0</v>
      </c>
      <c r="O33" s="24">
        <v>0</v>
      </c>
      <c r="P33" s="47">
        <v>14</v>
      </c>
      <c r="Q33" s="27">
        <v>3.8250999999999999</v>
      </c>
      <c r="R33" s="23">
        <v>92</v>
      </c>
      <c r="S33" s="27">
        <v>25.136600000000001</v>
      </c>
      <c r="T33" s="44">
        <v>10</v>
      </c>
      <c r="U33" s="27">
        <v>2.7322000000000002</v>
      </c>
      <c r="V33" s="23">
        <v>5</v>
      </c>
      <c r="W33" s="29">
        <v>1.3661000000000001</v>
      </c>
      <c r="X33" s="30">
        <v>2381</v>
      </c>
      <c r="Y33" s="31">
        <v>100</v>
      </c>
    </row>
    <row r="34" spans="1:25" s="32" customFormat="1" ht="15" customHeight="1" x14ac:dyDescent="0.25">
      <c r="A34" s="21" t="s">
        <v>18</v>
      </c>
      <c r="B34" s="33" t="s">
        <v>45</v>
      </c>
      <c r="C34" s="34">
        <v>56</v>
      </c>
      <c r="D34" s="35">
        <v>4</v>
      </c>
      <c r="E34" s="36">
        <v>7.1429</v>
      </c>
      <c r="F34" s="45">
        <v>1</v>
      </c>
      <c r="G34" s="36">
        <v>1.7857000000000001</v>
      </c>
      <c r="H34" s="37">
        <v>2</v>
      </c>
      <c r="I34" s="36">
        <v>3.5714000000000001</v>
      </c>
      <c r="J34" s="37">
        <v>2</v>
      </c>
      <c r="K34" s="36">
        <v>3.5714000000000001</v>
      </c>
      <c r="L34" s="37">
        <v>45</v>
      </c>
      <c r="M34" s="36">
        <v>80.357100000000003</v>
      </c>
      <c r="N34" s="37">
        <v>0</v>
      </c>
      <c r="O34" s="36">
        <v>0</v>
      </c>
      <c r="P34" s="48">
        <v>2</v>
      </c>
      <c r="Q34" s="38">
        <v>3.5714000000000001</v>
      </c>
      <c r="R34" s="35">
        <v>10</v>
      </c>
      <c r="S34" s="38">
        <v>17.857099999999999</v>
      </c>
      <c r="T34" s="46">
        <v>1</v>
      </c>
      <c r="U34" s="38">
        <v>1.7857000000000001</v>
      </c>
      <c r="V34" s="35">
        <v>0</v>
      </c>
      <c r="W34" s="39">
        <v>0</v>
      </c>
      <c r="X34" s="40">
        <v>823</v>
      </c>
      <c r="Y34" s="41">
        <v>96.233000000000004</v>
      </c>
    </row>
    <row r="35" spans="1:25" s="32" customFormat="1" ht="15" customHeight="1" x14ac:dyDescent="0.25">
      <c r="A35" s="21" t="s">
        <v>18</v>
      </c>
      <c r="B35" s="42" t="s">
        <v>46</v>
      </c>
      <c r="C35" s="22">
        <v>130</v>
      </c>
      <c r="D35" s="23">
        <v>2</v>
      </c>
      <c r="E35" s="24">
        <v>1.5385</v>
      </c>
      <c r="F35" s="43">
        <v>0</v>
      </c>
      <c r="G35" s="24">
        <v>0</v>
      </c>
      <c r="H35" s="25">
        <v>26</v>
      </c>
      <c r="I35" s="24">
        <v>20</v>
      </c>
      <c r="J35" s="43">
        <v>22</v>
      </c>
      <c r="K35" s="24">
        <v>16.923100000000002</v>
      </c>
      <c r="L35" s="25">
        <v>71</v>
      </c>
      <c r="M35" s="24">
        <v>54.615400000000001</v>
      </c>
      <c r="N35" s="25">
        <v>0</v>
      </c>
      <c r="O35" s="24">
        <v>0</v>
      </c>
      <c r="P35" s="47">
        <v>9</v>
      </c>
      <c r="Q35" s="27">
        <v>6.9230999999999998</v>
      </c>
      <c r="R35" s="23">
        <v>33</v>
      </c>
      <c r="S35" s="27">
        <v>25.384599999999999</v>
      </c>
      <c r="T35" s="44">
        <v>3</v>
      </c>
      <c r="U35" s="27">
        <v>2.3077000000000001</v>
      </c>
      <c r="V35" s="23">
        <v>0</v>
      </c>
      <c r="W35" s="29">
        <v>0</v>
      </c>
      <c r="X35" s="30">
        <v>1055</v>
      </c>
      <c r="Y35" s="31">
        <v>100</v>
      </c>
    </row>
    <row r="36" spans="1:25" s="32" customFormat="1" ht="15" customHeight="1" x14ac:dyDescent="0.25">
      <c r="A36" s="21" t="s">
        <v>18</v>
      </c>
      <c r="B36" s="33" t="s">
        <v>47</v>
      </c>
      <c r="C36" s="34">
        <v>19</v>
      </c>
      <c r="D36" s="35">
        <v>2</v>
      </c>
      <c r="E36" s="36">
        <v>10.526300000000001</v>
      </c>
      <c r="F36" s="45">
        <v>0</v>
      </c>
      <c r="G36" s="36">
        <v>0</v>
      </c>
      <c r="H36" s="37">
        <v>7</v>
      </c>
      <c r="I36" s="36">
        <v>36.842100000000002</v>
      </c>
      <c r="J36" s="37">
        <v>0</v>
      </c>
      <c r="K36" s="36">
        <v>0</v>
      </c>
      <c r="L36" s="37">
        <v>10</v>
      </c>
      <c r="M36" s="36">
        <v>52.631599999999999</v>
      </c>
      <c r="N36" s="37">
        <v>0</v>
      </c>
      <c r="O36" s="36">
        <v>0</v>
      </c>
      <c r="P36" s="48">
        <v>0</v>
      </c>
      <c r="Q36" s="38">
        <v>0</v>
      </c>
      <c r="R36" s="35">
        <v>2</v>
      </c>
      <c r="S36" s="38">
        <v>10.526300000000001</v>
      </c>
      <c r="T36" s="46">
        <v>2</v>
      </c>
      <c r="U36" s="38">
        <v>10.526300000000001</v>
      </c>
      <c r="V36" s="35">
        <v>5</v>
      </c>
      <c r="W36" s="39">
        <v>26.315799999999999</v>
      </c>
      <c r="X36" s="40">
        <v>704</v>
      </c>
      <c r="Y36" s="41">
        <v>100</v>
      </c>
    </row>
    <row r="37" spans="1:25" s="32" customFormat="1" ht="15" customHeight="1" x14ac:dyDescent="0.25">
      <c r="A37" s="21" t="s">
        <v>18</v>
      </c>
      <c r="B37" s="42" t="s">
        <v>48</v>
      </c>
      <c r="C37" s="22">
        <v>93</v>
      </c>
      <c r="D37" s="23">
        <v>1</v>
      </c>
      <c r="E37" s="24">
        <v>1.0752999999999999</v>
      </c>
      <c r="F37" s="43">
        <v>1</v>
      </c>
      <c r="G37" s="24">
        <v>1.0752999999999999</v>
      </c>
      <c r="H37" s="25">
        <v>1</v>
      </c>
      <c r="I37" s="24">
        <v>1.0752999999999999</v>
      </c>
      <c r="J37" s="43">
        <v>4</v>
      </c>
      <c r="K37" s="24">
        <v>4.3010999999999999</v>
      </c>
      <c r="L37" s="25">
        <v>83</v>
      </c>
      <c r="M37" s="24">
        <v>89.247299999999996</v>
      </c>
      <c r="N37" s="25">
        <v>1</v>
      </c>
      <c r="O37" s="24">
        <v>1.0752999999999999</v>
      </c>
      <c r="P37" s="47">
        <v>2</v>
      </c>
      <c r="Q37" s="27">
        <v>2.1505000000000001</v>
      </c>
      <c r="R37" s="23">
        <v>18</v>
      </c>
      <c r="S37" s="27">
        <v>19.354800000000001</v>
      </c>
      <c r="T37" s="44">
        <v>7</v>
      </c>
      <c r="U37" s="27">
        <v>7.5269000000000004</v>
      </c>
      <c r="V37" s="23">
        <v>0</v>
      </c>
      <c r="W37" s="29">
        <v>0</v>
      </c>
      <c r="X37" s="30">
        <v>491</v>
      </c>
      <c r="Y37" s="31">
        <v>100</v>
      </c>
    </row>
    <row r="38" spans="1:25" s="32" customFormat="1" ht="15" customHeight="1" x14ac:dyDescent="0.25">
      <c r="A38" s="21" t="s">
        <v>18</v>
      </c>
      <c r="B38" s="33" t="s">
        <v>49</v>
      </c>
      <c r="C38" s="34">
        <v>885</v>
      </c>
      <c r="D38" s="35">
        <v>1</v>
      </c>
      <c r="E38" s="36">
        <v>0.113</v>
      </c>
      <c r="F38" s="45">
        <v>37</v>
      </c>
      <c r="G38" s="36">
        <v>4.1807999999999996</v>
      </c>
      <c r="H38" s="37">
        <v>195</v>
      </c>
      <c r="I38" s="36">
        <v>22.033899999999999</v>
      </c>
      <c r="J38" s="37">
        <v>189</v>
      </c>
      <c r="K38" s="36">
        <v>21.355899999999998</v>
      </c>
      <c r="L38" s="37">
        <v>439</v>
      </c>
      <c r="M38" s="36">
        <v>49.604500000000002</v>
      </c>
      <c r="N38" s="37">
        <v>0</v>
      </c>
      <c r="O38" s="36">
        <v>0</v>
      </c>
      <c r="P38" s="48">
        <v>24</v>
      </c>
      <c r="Q38" s="38">
        <v>2.7119</v>
      </c>
      <c r="R38" s="35">
        <v>215</v>
      </c>
      <c r="S38" s="38">
        <v>24.293800000000001</v>
      </c>
      <c r="T38" s="46">
        <v>33</v>
      </c>
      <c r="U38" s="38">
        <v>3.7288000000000001</v>
      </c>
      <c r="V38" s="35">
        <v>13</v>
      </c>
      <c r="W38" s="39">
        <v>1.4689000000000001</v>
      </c>
      <c r="X38" s="40">
        <v>2561</v>
      </c>
      <c r="Y38" s="41">
        <v>100</v>
      </c>
    </row>
    <row r="39" spans="1:25" s="32" customFormat="1" ht="15" customHeight="1" x14ac:dyDescent="0.25">
      <c r="A39" s="21" t="s">
        <v>18</v>
      </c>
      <c r="B39" s="42" t="s">
        <v>50</v>
      </c>
      <c r="C39" s="22">
        <v>23</v>
      </c>
      <c r="D39" s="23">
        <v>4</v>
      </c>
      <c r="E39" s="24">
        <v>17.391300000000001</v>
      </c>
      <c r="F39" s="43">
        <v>0</v>
      </c>
      <c r="G39" s="24">
        <v>0</v>
      </c>
      <c r="H39" s="25">
        <v>11</v>
      </c>
      <c r="I39" s="24">
        <v>47.826099999999997</v>
      </c>
      <c r="J39" s="43">
        <v>0</v>
      </c>
      <c r="K39" s="24">
        <v>0</v>
      </c>
      <c r="L39" s="25">
        <v>8</v>
      </c>
      <c r="M39" s="24">
        <v>34.782600000000002</v>
      </c>
      <c r="N39" s="25">
        <v>0</v>
      </c>
      <c r="O39" s="24">
        <v>0</v>
      </c>
      <c r="P39" s="47">
        <v>0</v>
      </c>
      <c r="Q39" s="27">
        <v>0</v>
      </c>
      <c r="R39" s="23">
        <v>7</v>
      </c>
      <c r="S39" s="27">
        <v>30.434799999999999</v>
      </c>
      <c r="T39" s="44">
        <v>0</v>
      </c>
      <c r="U39" s="27">
        <v>0</v>
      </c>
      <c r="V39" s="23">
        <v>3</v>
      </c>
      <c r="W39" s="29">
        <v>13.0435</v>
      </c>
      <c r="X39" s="30">
        <v>866</v>
      </c>
      <c r="Y39" s="31">
        <v>100</v>
      </c>
    </row>
    <row r="40" spans="1:25" s="32" customFormat="1" ht="15" customHeight="1" x14ac:dyDescent="0.25">
      <c r="A40" s="21" t="s">
        <v>18</v>
      </c>
      <c r="B40" s="33" t="s">
        <v>51</v>
      </c>
      <c r="C40" s="34">
        <v>538</v>
      </c>
      <c r="D40" s="35">
        <v>2</v>
      </c>
      <c r="E40" s="36">
        <v>0.37169999999999997</v>
      </c>
      <c r="F40" s="45">
        <v>12</v>
      </c>
      <c r="G40" s="36">
        <v>2.2305000000000001</v>
      </c>
      <c r="H40" s="37">
        <v>35</v>
      </c>
      <c r="I40" s="36">
        <v>6.5056000000000003</v>
      </c>
      <c r="J40" s="37">
        <v>109</v>
      </c>
      <c r="K40" s="36">
        <v>20.260200000000001</v>
      </c>
      <c r="L40" s="37">
        <v>374</v>
      </c>
      <c r="M40" s="36">
        <v>69.5167</v>
      </c>
      <c r="N40" s="37">
        <v>0</v>
      </c>
      <c r="O40" s="36">
        <v>0</v>
      </c>
      <c r="P40" s="48">
        <v>6</v>
      </c>
      <c r="Q40" s="38">
        <v>1.1152</v>
      </c>
      <c r="R40" s="35">
        <v>182</v>
      </c>
      <c r="S40" s="38">
        <v>33.829000000000001</v>
      </c>
      <c r="T40" s="46">
        <v>14</v>
      </c>
      <c r="U40" s="38">
        <v>2.6021999999999998</v>
      </c>
      <c r="V40" s="35">
        <v>4</v>
      </c>
      <c r="W40" s="39">
        <v>0.74350000000000005</v>
      </c>
      <c r="X40" s="40">
        <v>4873</v>
      </c>
      <c r="Y40" s="41">
        <v>100</v>
      </c>
    </row>
    <row r="41" spans="1:25" s="32" customFormat="1" ht="15" customHeight="1" x14ac:dyDescent="0.25">
      <c r="A41" s="21" t="s">
        <v>18</v>
      </c>
      <c r="B41" s="42" t="s">
        <v>52</v>
      </c>
      <c r="C41" s="22">
        <v>45</v>
      </c>
      <c r="D41" s="23">
        <v>0</v>
      </c>
      <c r="E41" s="24">
        <v>0</v>
      </c>
      <c r="F41" s="43">
        <v>1</v>
      </c>
      <c r="G41" s="24">
        <v>2.2222</v>
      </c>
      <c r="H41" s="25">
        <v>6</v>
      </c>
      <c r="I41" s="24">
        <v>13.333299999999999</v>
      </c>
      <c r="J41" s="43">
        <v>20</v>
      </c>
      <c r="K41" s="24">
        <v>44.444400000000002</v>
      </c>
      <c r="L41" s="25">
        <v>12</v>
      </c>
      <c r="M41" s="24">
        <v>26.666699999999999</v>
      </c>
      <c r="N41" s="25">
        <v>0</v>
      </c>
      <c r="O41" s="24">
        <v>0</v>
      </c>
      <c r="P41" s="47">
        <v>6</v>
      </c>
      <c r="Q41" s="27">
        <v>13.333299999999999</v>
      </c>
      <c r="R41" s="23">
        <v>15</v>
      </c>
      <c r="S41" s="27">
        <v>33.333300000000001</v>
      </c>
      <c r="T41" s="44">
        <v>1</v>
      </c>
      <c r="U41" s="27">
        <v>2.2222</v>
      </c>
      <c r="V41" s="23">
        <v>2</v>
      </c>
      <c r="W41" s="29">
        <v>4.4443999999999999</v>
      </c>
      <c r="X41" s="30">
        <v>2661</v>
      </c>
      <c r="Y41" s="31">
        <v>100</v>
      </c>
    </row>
    <row r="42" spans="1:25" s="32" customFormat="1" ht="15" customHeight="1" x14ac:dyDescent="0.25">
      <c r="A42" s="21" t="s">
        <v>18</v>
      </c>
      <c r="B42" s="33" t="s">
        <v>53</v>
      </c>
      <c r="C42" s="34">
        <v>20</v>
      </c>
      <c r="D42" s="35">
        <v>4</v>
      </c>
      <c r="E42" s="36">
        <v>20</v>
      </c>
      <c r="F42" s="45">
        <v>0</v>
      </c>
      <c r="G42" s="36">
        <v>0</v>
      </c>
      <c r="H42" s="37">
        <v>3</v>
      </c>
      <c r="I42" s="36">
        <v>15</v>
      </c>
      <c r="J42" s="37">
        <v>2</v>
      </c>
      <c r="K42" s="36">
        <v>10</v>
      </c>
      <c r="L42" s="37">
        <v>11</v>
      </c>
      <c r="M42" s="36">
        <v>55</v>
      </c>
      <c r="N42" s="37">
        <v>0</v>
      </c>
      <c r="O42" s="36">
        <v>0</v>
      </c>
      <c r="P42" s="48">
        <v>0</v>
      </c>
      <c r="Q42" s="38">
        <v>0</v>
      </c>
      <c r="R42" s="35">
        <v>5</v>
      </c>
      <c r="S42" s="38">
        <v>25</v>
      </c>
      <c r="T42" s="46">
        <v>0</v>
      </c>
      <c r="U42" s="38">
        <v>0</v>
      </c>
      <c r="V42" s="35">
        <v>1</v>
      </c>
      <c r="W42" s="39">
        <v>5</v>
      </c>
      <c r="X42" s="40">
        <v>483</v>
      </c>
      <c r="Y42" s="41">
        <v>100</v>
      </c>
    </row>
    <row r="43" spans="1:25" s="32" customFormat="1" ht="15" customHeight="1" x14ac:dyDescent="0.25">
      <c r="A43" s="21" t="s">
        <v>18</v>
      </c>
      <c r="B43" s="42" t="s">
        <v>54</v>
      </c>
      <c r="C43" s="22">
        <v>136</v>
      </c>
      <c r="D43" s="23">
        <v>0</v>
      </c>
      <c r="E43" s="24">
        <v>0</v>
      </c>
      <c r="F43" s="43">
        <v>0</v>
      </c>
      <c r="G43" s="24">
        <v>0</v>
      </c>
      <c r="H43" s="25">
        <v>3</v>
      </c>
      <c r="I43" s="24">
        <v>2.2059000000000002</v>
      </c>
      <c r="J43" s="43">
        <v>44</v>
      </c>
      <c r="K43" s="24">
        <v>32.352899999999998</v>
      </c>
      <c r="L43" s="25">
        <v>83</v>
      </c>
      <c r="M43" s="24">
        <v>61.029400000000003</v>
      </c>
      <c r="N43" s="25">
        <v>0</v>
      </c>
      <c r="O43" s="24">
        <v>0</v>
      </c>
      <c r="P43" s="47">
        <v>6</v>
      </c>
      <c r="Q43" s="27">
        <v>4.4118000000000004</v>
      </c>
      <c r="R43" s="23">
        <v>30</v>
      </c>
      <c r="S43" s="27">
        <v>22.058800000000002</v>
      </c>
      <c r="T43" s="44">
        <v>8</v>
      </c>
      <c r="U43" s="27">
        <v>5.8823999999999996</v>
      </c>
      <c r="V43" s="23">
        <v>1</v>
      </c>
      <c r="W43" s="29">
        <v>0.73529999999999995</v>
      </c>
      <c r="X43" s="30">
        <v>3593</v>
      </c>
      <c r="Y43" s="31">
        <v>100</v>
      </c>
    </row>
    <row r="44" spans="1:25" s="32" customFormat="1" ht="15" customHeight="1" x14ac:dyDescent="0.25">
      <c r="A44" s="21" t="s">
        <v>18</v>
      </c>
      <c r="B44" s="33" t="s">
        <v>55</v>
      </c>
      <c r="C44" s="34">
        <v>137</v>
      </c>
      <c r="D44" s="35">
        <v>10</v>
      </c>
      <c r="E44" s="36">
        <v>7.2992999999999997</v>
      </c>
      <c r="F44" s="45">
        <v>4</v>
      </c>
      <c r="G44" s="36">
        <v>2.9197000000000002</v>
      </c>
      <c r="H44" s="37">
        <v>17</v>
      </c>
      <c r="I44" s="36">
        <v>12.408799999999999</v>
      </c>
      <c r="J44" s="37">
        <v>26</v>
      </c>
      <c r="K44" s="36">
        <v>18.978100000000001</v>
      </c>
      <c r="L44" s="37">
        <v>71</v>
      </c>
      <c r="M44" s="36">
        <v>51.824800000000003</v>
      </c>
      <c r="N44" s="37">
        <v>0</v>
      </c>
      <c r="O44" s="36">
        <v>0</v>
      </c>
      <c r="P44" s="48">
        <v>9</v>
      </c>
      <c r="Q44" s="38">
        <v>6.5693000000000001</v>
      </c>
      <c r="R44" s="35">
        <v>38</v>
      </c>
      <c r="S44" s="38">
        <v>27.737200000000001</v>
      </c>
      <c r="T44" s="46">
        <v>1</v>
      </c>
      <c r="U44" s="38">
        <v>0.72989999999999999</v>
      </c>
      <c r="V44" s="35">
        <v>4</v>
      </c>
      <c r="W44" s="39">
        <v>2.9197000000000002</v>
      </c>
      <c r="X44" s="40">
        <v>1816</v>
      </c>
      <c r="Y44" s="41">
        <v>100</v>
      </c>
    </row>
    <row r="45" spans="1:25" s="32" customFormat="1" ht="15" customHeight="1" x14ac:dyDescent="0.25">
      <c r="A45" s="21" t="s">
        <v>18</v>
      </c>
      <c r="B45" s="42" t="s">
        <v>56</v>
      </c>
      <c r="C45" s="22">
        <v>713</v>
      </c>
      <c r="D45" s="23">
        <v>6</v>
      </c>
      <c r="E45" s="24">
        <v>0.84150000000000003</v>
      </c>
      <c r="F45" s="43">
        <v>7</v>
      </c>
      <c r="G45" s="24">
        <v>0.98180000000000001</v>
      </c>
      <c r="H45" s="25">
        <v>263</v>
      </c>
      <c r="I45" s="24">
        <v>36.886400000000002</v>
      </c>
      <c r="J45" s="43">
        <v>21</v>
      </c>
      <c r="K45" s="24">
        <v>2.9453</v>
      </c>
      <c r="L45" s="25">
        <v>362</v>
      </c>
      <c r="M45" s="24">
        <v>50.7714</v>
      </c>
      <c r="N45" s="25">
        <v>17</v>
      </c>
      <c r="O45" s="24">
        <v>2.3843000000000001</v>
      </c>
      <c r="P45" s="47">
        <v>37</v>
      </c>
      <c r="Q45" s="27">
        <v>5.1893000000000002</v>
      </c>
      <c r="R45" s="23">
        <v>208</v>
      </c>
      <c r="S45" s="27">
        <v>29.172499999999999</v>
      </c>
      <c r="T45" s="44">
        <v>25</v>
      </c>
      <c r="U45" s="27">
        <v>3.5063</v>
      </c>
      <c r="V45" s="23">
        <v>121</v>
      </c>
      <c r="W45" s="29">
        <v>16.970500000000001</v>
      </c>
      <c r="X45" s="30">
        <v>1289</v>
      </c>
      <c r="Y45" s="31">
        <v>100</v>
      </c>
    </row>
    <row r="46" spans="1:25" s="32" customFormat="1" ht="15" customHeight="1" x14ac:dyDescent="0.25">
      <c r="A46" s="21" t="s">
        <v>18</v>
      </c>
      <c r="B46" s="33" t="s">
        <v>57</v>
      </c>
      <c r="C46" s="34">
        <v>405</v>
      </c>
      <c r="D46" s="35">
        <v>1</v>
      </c>
      <c r="E46" s="36">
        <v>0.24690000000000001</v>
      </c>
      <c r="F46" s="45">
        <v>1</v>
      </c>
      <c r="G46" s="36">
        <v>0.24690000000000001</v>
      </c>
      <c r="H46" s="37">
        <v>142</v>
      </c>
      <c r="I46" s="36">
        <v>35.061700000000002</v>
      </c>
      <c r="J46" s="37">
        <v>80</v>
      </c>
      <c r="K46" s="36">
        <v>19.7531</v>
      </c>
      <c r="L46" s="37">
        <v>170</v>
      </c>
      <c r="M46" s="36">
        <v>41.975299999999997</v>
      </c>
      <c r="N46" s="37">
        <v>0</v>
      </c>
      <c r="O46" s="36">
        <v>0</v>
      </c>
      <c r="P46" s="48">
        <v>11</v>
      </c>
      <c r="Q46" s="38">
        <v>2.7160000000000002</v>
      </c>
      <c r="R46" s="35">
        <v>147</v>
      </c>
      <c r="S46" s="38">
        <v>36.296300000000002</v>
      </c>
      <c r="T46" s="46">
        <v>10</v>
      </c>
      <c r="U46" s="38">
        <v>2.4691000000000001</v>
      </c>
      <c r="V46" s="35">
        <v>34</v>
      </c>
      <c r="W46" s="39">
        <v>8.3950999999999993</v>
      </c>
      <c r="X46" s="40">
        <v>3006</v>
      </c>
      <c r="Y46" s="41">
        <v>100</v>
      </c>
    </row>
    <row r="47" spans="1:25" s="32" customFormat="1" ht="15" customHeight="1" x14ac:dyDescent="0.25">
      <c r="A47" s="21" t="s">
        <v>18</v>
      </c>
      <c r="B47" s="42" t="s">
        <v>58</v>
      </c>
      <c r="C47" s="22">
        <v>27</v>
      </c>
      <c r="D47" s="23">
        <v>0</v>
      </c>
      <c r="E47" s="24">
        <v>0</v>
      </c>
      <c r="F47" s="43">
        <v>0</v>
      </c>
      <c r="G47" s="24">
        <v>0</v>
      </c>
      <c r="H47" s="25">
        <v>3</v>
      </c>
      <c r="I47" s="24">
        <v>11.1111</v>
      </c>
      <c r="J47" s="43">
        <v>2</v>
      </c>
      <c r="K47" s="24">
        <v>7.4074</v>
      </c>
      <c r="L47" s="25">
        <v>22</v>
      </c>
      <c r="M47" s="24">
        <v>81.481499999999997</v>
      </c>
      <c r="N47" s="25">
        <v>0</v>
      </c>
      <c r="O47" s="24">
        <v>0</v>
      </c>
      <c r="P47" s="47">
        <v>0</v>
      </c>
      <c r="Q47" s="27">
        <v>0</v>
      </c>
      <c r="R47" s="23">
        <v>10</v>
      </c>
      <c r="S47" s="27">
        <v>37.036999999999999</v>
      </c>
      <c r="T47" s="44">
        <v>3</v>
      </c>
      <c r="U47" s="27">
        <v>11.1111</v>
      </c>
      <c r="V47" s="23">
        <v>0</v>
      </c>
      <c r="W47" s="29">
        <v>0</v>
      </c>
      <c r="X47" s="30">
        <v>312</v>
      </c>
      <c r="Y47" s="31">
        <v>100</v>
      </c>
    </row>
    <row r="48" spans="1:25" s="32" customFormat="1" ht="15" customHeight="1" x14ac:dyDescent="0.25">
      <c r="A48" s="21" t="s">
        <v>18</v>
      </c>
      <c r="B48" s="33" t="s">
        <v>59</v>
      </c>
      <c r="C48" s="34">
        <v>185</v>
      </c>
      <c r="D48" s="35">
        <v>0</v>
      </c>
      <c r="E48" s="36">
        <v>0</v>
      </c>
      <c r="F48" s="45">
        <v>2</v>
      </c>
      <c r="G48" s="36">
        <v>1.0810999999999999</v>
      </c>
      <c r="H48" s="37">
        <v>6</v>
      </c>
      <c r="I48" s="36">
        <v>3.2431999999999999</v>
      </c>
      <c r="J48" s="37">
        <v>136</v>
      </c>
      <c r="K48" s="36">
        <v>73.513499999999993</v>
      </c>
      <c r="L48" s="37">
        <v>39</v>
      </c>
      <c r="M48" s="36">
        <v>21.081099999999999</v>
      </c>
      <c r="N48" s="37">
        <v>0</v>
      </c>
      <c r="O48" s="36">
        <v>0</v>
      </c>
      <c r="P48" s="48">
        <v>2</v>
      </c>
      <c r="Q48" s="38">
        <v>1.0810999999999999</v>
      </c>
      <c r="R48" s="35">
        <v>49</v>
      </c>
      <c r="S48" s="38">
        <v>26.486499999999999</v>
      </c>
      <c r="T48" s="46">
        <v>4</v>
      </c>
      <c r="U48" s="38">
        <v>2.1621999999999999</v>
      </c>
      <c r="V48" s="35">
        <v>3</v>
      </c>
      <c r="W48" s="39">
        <v>1.6215999999999999</v>
      </c>
      <c r="X48" s="40">
        <v>1243</v>
      </c>
      <c r="Y48" s="41">
        <v>100</v>
      </c>
    </row>
    <row r="49" spans="1:25" s="32" customFormat="1" ht="15" customHeight="1" x14ac:dyDescent="0.25">
      <c r="A49" s="21" t="s">
        <v>18</v>
      </c>
      <c r="B49" s="42" t="s">
        <v>60</v>
      </c>
      <c r="C49" s="22">
        <v>39</v>
      </c>
      <c r="D49" s="23">
        <v>3</v>
      </c>
      <c r="E49" s="24">
        <v>7.6923000000000004</v>
      </c>
      <c r="F49" s="43">
        <v>0</v>
      </c>
      <c r="G49" s="24">
        <v>0</v>
      </c>
      <c r="H49" s="25">
        <v>3</v>
      </c>
      <c r="I49" s="24">
        <v>7.6923000000000004</v>
      </c>
      <c r="J49" s="43">
        <v>3</v>
      </c>
      <c r="K49" s="24">
        <v>7.6923000000000004</v>
      </c>
      <c r="L49" s="25">
        <v>28</v>
      </c>
      <c r="M49" s="24">
        <v>71.794899999999998</v>
      </c>
      <c r="N49" s="25">
        <v>0</v>
      </c>
      <c r="O49" s="24">
        <v>0</v>
      </c>
      <c r="P49" s="47">
        <v>2</v>
      </c>
      <c r="Q49" s="27">
        <v>5.1281999999999996</v>
      </c>
      <c r="R49" s="23">
        <v>17</v>
      </c>
      <c r="S49" s="27">
        <v>43.589700000000001</v>
      </c>
      <c r="T49" s="44">
        <v>1</v>
      </c>
      <c r="U49" s="27">
        <v>2.5640999999999998</v>
      </c>
      <c r="V49" s="23">
        <v>0</v>
      </c>
      <c r="W49" s="29">
        <v>0</v>
      </c>
      <c r="X49" s="30">
        <v>698</v>
      </c>
      <c r="Y49" s="31">
        <v>100</v>
      </c>
    </row>
    <row r="50" spans="1:25" s="32" customFormat="1" ht="15" customHeight="1" x14ac:dyDescent="0.25">
      <c r="A50" s="21" t="s">
        <v>18</v>
      </c>
      <c r="B50" s="33" t="s">
        <v>61</v>
      </c>
      <c r="C50" s="34">
        <v>97</v>
      </c>
      <c r="D50" s="35">
        <v>0</v>
      </c>
      <c r="E50" s="36">
        <v>0</v>
      </c>
      <c r="F50" s="45">
        <v>1</v>
      </c>
      <c r="G50" s="36">
        <v>1.0308999999999999</v>
      </c>
      <c r="H50" s="37">
        <v>3</v>
      </c>
      <c r="I50" s="36">
        <v>3.0928</v>
      </c>
      <c r="J50" s="37">
        <v>11</v>
      </c>
      <c r="K50" s="36">
        <v>11.340199999999999</v>
      </c>
      <c r="L50" s="37">
        <v>77</v>
      </c>
      <c r="M50" s="36">
        <v>79.381399999999999</v>
      </c>
      <c r="N50" s="37">
        <v>0</v>
      </c>
      <c r="O50" s="36">
        <v>0</v>
      </c>
      <c r="P50" s="48">
        <v>5</v>
      </c>
      <c r="Q50" s="38">
        <v>5.1546000000000003</v>
      </c>
      <c r="R50" s="35">
        <v>15</v>
      </c>
      <c r="S50" s="38">
        <v>15.463900000000001</v>
      </c>
      <c r="T50" s="46">
        <v>3</v>
      </c>
      <c r="U50" s="38">
        <v>3.0928</v>
      </c>
      <c r="V50" s="35">
        <v>0</v>
      </c>
      <c r="W50" s="39">
        <v>0</v>
      </c>
      <c r="X50" s="40">
        <v>1777</v>
      </c>
      <c r="Y50" s="41">
        <v>100</v>
      </c>
    </row>
    <row r="51" spans="1:25" s="32" customFormat="1" ht="15" customHeight="1" x14ac:dyDescent="0.25">
      <c r="A51" s="21" t="s">
        <v>18</v>
      </c>
      <c r="B51" s="42" t="s">
        <v>62</v>
      </c>
      <c r="C51" s="22">
        <v>245</v>
      </c>
      <c r="D51" s="23">
        <v>1</v>
      </c>
      <c r="E51" s="24">
        <v>0.40820000000000001</v>
      </c>
      <c r="F51" s="43">
        <v>2</v>
      </c>
      <c r="G51" s="24">
        <v>0.81630000000000003</v>
      </c>
      <c r="H51" s="25">
        <v>121</v>
      </c>
      <c r="I51" s="24">
        <v>49.387799999999999</v>
      </c>
      <c r="J51" s="43">
        <v>53</v>
      </c>
      <c r="K51" s="24">
        <v>21.6327</v>
      </c>
      <c r="L51" s="25">
        <v>60</v>
      </c>
      <c r="M51" s="24">
        <v>24.489799999999999</v>
      </c>
      <c r="N51" s="25">
        <v>0</v>
      </c>
      <c r="O51" s="24">
        <v>0</v>
      </c>
      <c r="P51" s="47">
        <v>8</v>
      </c>
      <c r="Q51" s="27">
        <v>3.2652999999999999</v>
      </c>
      <c r="R51" s="23">
        <v>61</v>
      </c>
      <c r="S51" s="27">
        <v>24.898</v>
      </c>
      <c r="T51" s="44">
        <v>17</v>
      </c>
      <c r="U51" s="27">
        <v>6.9387999999999996</v>
      </c>
      <c r="V51" s="23">
        <v>44</v>
      </c>
      <c r="W51" s="29">
        <v>17.959199999999999</v>
      </c>
      <c r="X51" s="30">
        <v>8758</v>
      </c>
      <c r="Y51" s="31">
        <v>100</v>
      </c>
    </row>
    <row r="52" spans="1:25" s="32" customFormat="1" ht="15" customHeight="1" x14ac:dyDescent="0.25">
      <c r="A52" s="21" t="s">
        <v>18</v>
      </c>
      <c r="B52" s="33" t="s">
        <v>63</v>
      </c>
      <c r="C52" s="34">
        <v>268</v>
      </c>
      <c r="D52" s="35">
        <v>13</v>
      </c>
      <c r="E52" s="36">
        <v>4.8506999999999998</v>
      </c>
      <c r="F52" s="45">
        <v>1</v>
      </c>
      <c r="G52" s="36">
        <v>0.37309999999999999</v>
      </c>
      <c r="H52" s="37">
        <v>69</v>
      </c>
      <c r="I52" s="36">
        <v>25.746300000000002</v>
      </c>
      <c r="J52" s="37">
        <v>8</v>
      </c>
      <c r="K52" s="36">
        <v>2.9851000000000001</v>
      </c>
      <c r="L52" s="37">
        <v>163</v>
      </c>
      <c r="M52" s="36">
        <v>60.820900000000002</v>
      </c>
      <c r="N52" s="37">
        <v>5</v>
      </c>
      <c r="O52" s="36">
        <v>1.8656999999999999</v>
      </c>
      <c r="P52" s="48">
        <v>9</v>
      </c>
      <c r="Q52" s="38">
        <v>3.3582000000000001</v>
      </c>
      <c r="R52" s="35">
        <v>54</v>
      </c>
      <c r="S52" s="38">
        <v>20.1493</v>
      </c>
      <c r="T52" s="46">
        <v>5</v>
      </c>
      <c r="U52" s="38">
        <v>1.8656999999999999</v>
      </c>
      <c r="V52" s="35">
        <v>34</v>
      </c>
      <c r="W52" s="39">
        <v>12.6866</v>
      </c>
      <c r="X52" s="40">
        <v>1029</v>
      </c>
      <c r="Y52" s="41">
        <v>100</v>
      </c>
    </row>
    <row r="53" spans="1:25" s="32" customFormat="1" ht="15" customHeight="1" x14ac:dyDescent="0.25">
      <c r="A53" s="21" t="s">
        <v>18</v>
      </c>
      <c r="B53" s="42" t="s">
        <v>64</v>
      </c>
      <c r="C53" s="22">
        <v>86</v>
      </c>
      <c r="D53" s="23">
        <v>0</v>
      </c>
      <c r="E53" s="24">
        <v>0</v>
      </c>
      <c r="F53" s="43">
        <v>1</v>
      </c>
      <c r="G53" s="24">
        <v>1.1628000000000001</v>
      </c>
      <c r="H53" s="25">
        <v>1</v>
      </c>
      <c r="I53" s="24">
        <v>1.1628000000000001</v>
      </c>
      <c r="J53" s="43">
        <v>4</v>
      </c>
      <c r="K53" s="24">
        <v>4.6512000000000002</v>
      </c>
      <c r="L53" s="25">
        <v>78</v>
      </c>
      <c r="M53" s="24">
        <v>90.697699999999998</v>
      </c>
      <c r="N53" s="25">
        <v>0</v>
      </c>
      <c r="O53" s="24">
        <v>0</v>
      </c>
      <c r="P53" s="47">
        <v>2</v>
      </c>
      <c r="Q53" s="27">
        <v>2.3256000000000001</v>
      </c>
      <c r="R53" s="23">
        <v>25</v>
      </c>
      <c r="S53" s="27">
        <v>29.069800000000001</v>
      </c>
      <c r="T53" s="44">
        <v>6</v>
      </c>
      <c r="U53" s="27">
        <v>6.9767000000000001</v>
      </c>
      <c r="V53" s="23">
        <v>0</v>
      </c>
      <c r="W53" s="29">
        <v>0</v>
      </c>
      <c r="X53" s="30">
        <v>302</v>
      </c>
      <c r="Y53" s="31">
        <v>100</v>
      </c>
    </row>
    <row r="54" spans="1:25" s="32" customFormat="1" ht="15" customHeight="1" x14ac:dyDescent="0.25">
      <c r="A54" s="21" t="s">
        <v>18</v>
      </c>
      <c r="B54" s="33" t="s">
        <v>65</v>
      </c>
      <c r="C54" s="34">
        <v>99</v>
      </c>
      <c r="D54" s="35">
        <v>0</v>
      </c>
      <c r="E54" s="36">
        <v>0</v>
      </c>
      <c r="F54" s="45">
        <v>0</v>
      </c>
      <c r="G54" s="36">
        <v>0</v>
      </c>
      <c r="H54" s="37">
        <v>14</v>
      </c>
      <c r="I54" s="36">
        <v>14.141400000000001</v>
      </c>
      <c r="J54" s="37">
        <v>63</v>
      </c>
      <c r="K54" s="36">
        <v>63.636400000000002</v>
      </c>
      <c r="L54" s="37">
        <v>20</v>
      </c>
      <c r="M54" s="36">
        <v>20.202000000000002</v>
      </c>
      <c r="N54" s="37">
        <v>0</v>
      </c>
      <c r="O54" s="36">
        <v>0</v>
      </c>
      <c r="P54" s="48">
        <v>2</v>
      </c>
      <c r="Q54" s="38">
        <v>2.0202</v>
      </c>
      <c r="R54" s="35">
        <v>37</v>
      </c>
      <c r="S54" s="38">
        <v>37.373699999999999</v>
      </c>
      <c r="T54" s="46">
        <v>0</v>
      </c>
      <c r="U54" s="38">
        <v>0</v>
      </c>
      <c r="V54" s="35">
        <v>9</v>
      </c>
      <c r="W54" s="39">
        <v>9.0908999999999995</v>
      </c>
      <c r="X54" s="40">
        <v>1982</v>
      </c>
      <c r="Y54" s="41">
        <v>98.385000000000005</v>
      </c>
    </row>
    <row r="55" spans="1:25" s="32" customFormat="1" ht="15" customHeight="1" x14ac:dyDescent="0.25">
      <c r="A55" s="21" t="s">
        <v>18</v>
      </c>
      <c r="B55" s="42" t="s">
        <v>66</v>
      </c>
      <c r="C55" s="22">
        <v>288</v>
      </c>
      <c r="D55" s="23">
        <v>4</v>
      </c>
      <c r="E55" s="24">
        <v>1.3889</v>
      </c>
      <c r="F55" s="43">
        <v>4</v>
      </c>
      <c r="G55" s="24">
        <v>1.3889</v>
      </c>
      <c r="H55" s="25">
        <v>66</v>
      </c>
      <c r="I55" s="24">
        <v>22.916699999999999</v>
      </c>
      <c r="J55" s="43">
        <v>34</v>
      </c>
      <c r="K55" s="24">
        <v>11.8056</v>
      </c>
      <c r="L55" s="25">
        <v>160</v>
      </c>
      <c r="M55" s="24">
        <v>55.555599999999998</v>
      </c>
      <c r="N55" s="25">
        <v>2</v>
      </c>
      <c r="O55" s="24">
        <v>0.69440000000000002</v>
      </c>
      <c r="P55" s="47">
        <v>18</v>
      </c>
      <c r="Q55" s="27">
        <v>6.25</v>
      </c>
      <c r="R55" s="23">
        <v>82</v>
      </c>
      <c r="S55" s="27">
        <v>28.472200000000001</v>
      </c>
      <c r="T55" s="44">
        <v>13</v>
      </c>
      <c r="U55" s="27">
        <v>4.5138999999999996</v>
      </c>
      <c r="V55" s="23">
        <v>30</v>
      </c>
      <c r="W55" s="29">
        <v>10.416700000000001</v>
      </c>
      <c r="X55" s="30">
        <v>2339</v>
      </c>
      <c r="Y55" s="31">
        <v>100</v>
      </c>
    </row>
    <row r="56" spans="1:25" s="32" customFormat="1" ht="15" customHeight="1" x14ac:dyDescent="0.25">
      <c r="A56" s="21" t="s">
        <v>18</v>
      </c>
      <c r="B56" s="33" t="s">
        <v>67</v>
      </c>
      <c r="C56" s="34">
        <v>34</v>
      </c>
      <c r="D56" s="35">
        <v>0</v>
      </c>
      <c r="E56" s="36">
        <v>0</v>
      </c>
      <c r="F56" s="45">
        <v>0</v>
      </c>
      <c r="G56" s="36">
        <v>0</v>
      </c>
      <c r="H56" s="37">
        <v>0</v>
      </c>
      <c r="I56" s="36">
        <v>0</v>
      </c>
      <c r="J56" s="37">
        <v>1</v>
      </c>
      <c r="K56" s="36">
        <v>2.9411999999999998</v>
      </c>
      <c r="L56" s="37">
        <v>32</v>
      </c>
      <c r="M56" s="36">
        <v>94.117599999999996</v>
      </c>
      <c r="N56" s="37">
        <v>0</v>
      </c>
      <c r="O56" s="36">
        <v>0</v>
      </c>
      <c r="P56" s="48">
        <v>1</v>
      </c>
      <c r="Q56" s="38">
        <v>2.9411999999999998</v>
      </c>
      <c r="R56" s="35">
        <v>9</v>
      </c>
      <c r="S56" s="38">
        <v>26.470600000000001</v>
      </c>
      <c r="T56" s="46">
        <v>0</v>
      </c>
      <c r="U56" s="38">
        <v>0</v>
      </c>
      <c r="V56" s="35">
        <v>0</v>
      </c>
      <c r="W56" s="39">
        <v>0</v>
      </c>
      <c r="X56" s="40">
        <v>691</v>
      </c>
      <c r="Y56" s="41">
        <v>100</v>
      </c>
    </row>
    <row r="57" spans="1:25" s="32" customFormat="1" ht="15" customHeight="1" x14ac:dyDescent="0.25">
      <c r="A57" s="21" t="s">
        <v>18</v>
      </c>
      <c r="B57" s="42" t="s">
        <v>68</v>
      </c>
      <c r="C57" s="22">
        <v>345</v>
      </c>
      <c r="D57" s="23">
        <v>3</v>
      </c>
      <c r="E57" s="24">
        <v>0.86960000000000004</v>
      </c>
      <c r="F57" s="43">
        <v>1</v>
      </c>
      <c r="G57" s="24">
        <v>0.28989999999999999</v>
      </c>
      <c r="H57" s="25">
        <v>40</v>
      </c>
      <c r="I57" s="24">
        <v>11.594200000000001</v>
      </c>
      <c r="J57" s="43">
        <v>40</v>
      </c>
      <c r="K57" s="24">
        <v>11.594200000000001</v>
      </c>
      <c r="L57" s="25">
        <v>249</v>
      </c>
      <c r="M57" s="24">
        <v>72.173900000000003</v>
      </c>
      <c r="N57" s="25">
        <v>1</v>
      </c>
      <c r="O57" s="24">
        <v>0.28989999999999999</v>
      </c>
      <c r="P57" s="47">
        <v>11</v>
      </c>
      <c r="Q57" s="27">
        <v>3.1884000000000001</v>
      </c>
      <c r="R57" s="23">
        <v>106</v>
      </c>
      <c r="S57" s="27">
        <v>30.724599999999999</v>
      </c>
      <c r="T57" s="44">
        <v>2</v>
      </c>
      <c r="U57" s="27">
        <v>0.57969999999999999</v>
      </c>
      <c r="V57" s="23">
        <v>12</v>
      </c>
      <c r="W57" s="29">
        <v>3.4782999999999999</v>
      </c>
      <c r="X57" s="30">
        <v>2235</v>
      </c>
      <c r="Y57" s="31">
        <v>99.954999999999998</v>
      </c>
    </row>
    <row r="58" spans="1:25" s="32" customFormat="1" ht="15" customHeight="1" x14ac:dyDescent="0.25">
      <c r="A58" s="21" t="s">
        <v>18</v>
      </c>
      <c r="B58" s="33" t="s">
        <v>69</v>
      </c>
      <c r="C58" s="34">
        <v>19</v>
      </c>
      <c r="D58" s="46">
        <v>0</v>
      </c>
      <c r="E58" s="36">
        <v>0</v>
      </c>
      <c r="F58" s="37">
        <v>0</v>
      </c>
      <c r="G58" s="36">
        <v>0</v>
      </c>
      <c r="H58" s="45">
        <v>0</v>
      </c>
      <c r="I58" s="36">
        <v>0</v>
      </c>
      <c r="J58" s="37">
        <v>0</v>
      </c>
      <c r="K58" s="36">
        <v>0</v>
      </c>
      <c r="L58" s="37">
        <v>17</v>
      </c>
      <c r="M58" s="36">
        <v>89.473699999999994</v>
      </c>
      <c r="N58" s="37">
        <v>0</v>
      </c>
      <c r="O58" s="36">
        <v>0</v>
      </c>
      <c r="P58" s="48">
        <v>2</v>
      </c>
      <c r="Q58" s="38">
        <v>10.526300000000001</v>
      </c>
      <c r="R58" s="35">
        <v>2</v>
      </c>
      <c r="S58" s="38">
        <v>10.526300000000001</v>
      </c>
      <c r="T58" s="35">
        <v>2</v>
      </c>
      <c r="U58" s="38">
        <v>10.526300000000001</v>
      </c>
      <c r="V58" s="35">
        <v>0</v>
      </c>
      <c r="W58" s="39">
        <v>0</v>
      </c>
      <c r="X58" s="40">
        <v>366</v>
      </c>
      <c r="Y58" s="41">
        <v>100</v>
      </c>
    </row>
    <row r="59" spans="1:25" s="32" customFormat="1" ht="15" customHeight="1" thickBot="1" x14ac:dyDescent="0.3">
      <c r="A59" s="21" t="s">
        <v>18</v>
      </c>
      <c r="B59" s="42" t="s">
        <v>71</v>
      </c>
      <c r="C59" s="60">
        <v>0</v>
      </c>
      <c r="D59" s="61">
        <v>0</v>
      </c>
      <c r="E59" s="62">
        <v>0</v>
      </c>
      <c r="F59" s="63">
        <v>0</v>
      </c>
      <c r="G59" s="62">
        <v>0</v>
      </c>
      <c r="H59" s="64">
        <v>0</v>
      </c>
      <c r="I59" s="62">
        <v>0</v>
      </c>
      <c r="J59" s="63">
        <v>0</v>
      </c>
      <c r="K59" s="62">
        <v>0</v>
      </c>
      <c r="L59" s="63">
        <v>0</v>
      </c>
      <c r="M59" s="62">
        <v>0</v>
      </c>
      <c r="N59" s="63">
        <v>0</v>
      </c>
      <c r="O59" s="62">
        <v>0</v>
      </c>
      <c r="P59" s="65">
        <v>0</v>
      </c>
      <c r="Q59" s="62">
        <v>0</v>
      </c>
      <c r="R59" s="66">
        <v>0</v>
      </c>
      <c r="S59" s="62">
        <v>0</v>
      </c>
      <c r="T59" s="66">
        <v>0</v>
      </c>
      <c r="U59" s="62">
        <v>0</v>
      </c>
      <c r="V59" s="66">
        <v>0</v>
      </c>
      <c r="W59" s="62">
        <v>0</v>
      </c>
      <c r="X59" s="67">
        <v>1099</v>
      </c>
      <c r="Y59" s="68">
        <v>100</v>
      </c>
    </row>
    <row r="60" spans="1:25" s="51" customFormat="1" ht="15" customHeight="1" x14ac:dyDescent="0.25">
      <c r="A60" s="53"/>
      <c r="B60" s="69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4"/>
      <c r="W60" s="55"/>
      <c r="X60" s="50"/>
      <c r="Y60" s="50"/>
    </row>
    <row r="61" spans="1:25" s="32" customFormat="1" ht="15" customHeight="1" x14ac:dyDescent="0.25">
      <c r="A61" s="21"/>
      <c r="B61" s="58" t="s">
        <v>76</v>
      </c>
      <c r="C61" s="57"/>
      <c r="D61" s="57"/>
      <c r="E61" s="57"/>
      <c r="F61" s="57"/>
      <c r="G61" s="57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7"/>
      <c r="W61" s="57"/>
      <c r="X61" s="56"/>
      <c r="Y61" s="56"/>
    </row>
    <row r="62" spans="1:25" s="51" customFormat="1" ht="27" customHeight="1" x14ac:dyDescent="0.25">
      <c r="A62" s="53"/>
      <c r="B62" s="92" t="str">
        <f>CONCATENATE("NOTE: Table reads (for 50 states, District of Columbia, and Puerto Rico Totals):  Of all ",IF(ISTEXT(C7),LEFT(C7,3),TEXT(C7,"#,##0"))," public school male students ",LOWER(A7),", ",IF(ISTEXT(D7),LEFT(D7,3),TEXT(D7,"#,##0"))," (", TEXT(E7,"0.0"),"%) were American Indian or Alaska Native, ",IF(ISTEXT(R7),LEFT(R7,3),TEXT(R7,"#,##0"))," (",TEXT(S7,"0.0"),"%) were students with disabilities served under the Individuals with Disabilities Education Act (IDEA), and ",IF(ISTEXT(T7),LEFT(T7,3),TEXT(T7,"#,##0"))," (",TEXT(U7,"0.0"),"%) were students with disabilities served solely under Section 504 of the Rehabilitation Act of 1973.")</f>
        <v>NOTE: Table reads (for 50 states, District of Columbia, and Puerto Rico Totals):  Of all 9,494 public school male students disciplined for engaging in harassment or bullying on the basis of disability, 139 (1.5%) were American Indian or Alaska Native, 2,421 (25.5%) were students with disabilities served under the Individuals with Disabilities Education Act (IDEA), and 326 (3.4%) were students with disabilities served solely under Section 504 of the Rehabilitation Act of 1973.</v>
      </c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</row>
    <row r="63" spans="1:25" s="32" customFormat="1" ht="15" customHeight="1" x14ac:dyDescent="0.25">
      <c r="A63" s="21"/>
      <c r="B63" s="91" t="s">
        <v>73</v>
      </c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56"/>
      <c r="Y63" s="56"/>
    </row>
    <row r="64" spans="1:25" s="51" customFormat="1" ht="14.15" customHeight="1" x14ac:dyDescent="0.25">
      <c r="B64" s="91" t="s">
        <v>70</v>
      </c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50"/>
      <c r="Y64" s="49"/>
    </row>
    <row r="65" spans="1:25" s="51" customFormat="1" ht="15" customHeight="1" x14ac:dyDescent="0.3">
      <c r="A65" s="5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5"/>
      <c r="W65" s="6"/>
      <c r="X65" s="50"/>
      <c r="Y65" s="50"/>
    </row>
  </sheetData>
  <sortState xmlns:xlrd2="http://schemas.microsoft.com/office/spreadsheetml/2017/richdata2" ref="B8:Y59">
    <sortCondition ref="B8:B59"/>
  </sortState>
  <mergeCells count="19">
    <mergeCell ref="B64:W64"/>
    <mergeCell ref="B62:Y62"/>
    <mergeCell ref="V4:W5"/>
    <mergeCell ref="X4:X5"/>
    <mergeCell ref="Y4:Y5"/>
    <mergeCell ref="D5:E5"/>
    <mergeCell ref="F5:G5"/>
    <mergeCell ref="H5:I5"/>
    <mergeCell ref="J5:K5"/>
    <mergeCell ref="L5:M5"/>
    <mergeCell ref="N5:O5"/>
    <mergeCell ref="P5:Q5"/>
    <mergeCell ref="B4:B5"/>
    <mergeCell ref="C4:C5"/>
    <mergeCell ref="D4:Q4"/>
    <mergeCell ref="R4:S5"/>
    <mergeCell ref="T4:U5"/>
    <mergeCell ref="B2:Y2"/>
    <mergeCell ref="B63:W63"/>
  </mergeCells>
  <phoneticPr fontId="15" type="noConversion"/>
  <printOptions horizontalCentered="1"/>
  <pageMargins left="0.5" right="0.5" top="1" bottom="1" header="0.5" footer="0.5"/>
  <pageSetup paperSize="3" scale="58" orientation="landscape" horizontalDpi="4294967292" verticalDpi="4294967292" r:id="rId1"/>
  <extLst>
    <ext xmlns:mx="http://schemas.microsoft.com/office/mac/excel/2008/main" uri="{64002731-A6B0-56B0-2670-7721B7C09600}">
      <mx:PLV Mode="0" OnePage="0" WScale="4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Y65"/>
  <sheetViews>
    <sheetView showGridLines="0" topLeftCell="A52" zoomScale="80" zoomScaleNormal="80" workbookViewId="0">
      <selection activeCell="E9" sqref="E9"/>
    </sheetView>
  </sheetViews>
  <sheetFormatPr defaultColWidth="12.109375" defaultRowHeight="15" customHeight="1" x14ac:dyDescent="0.3"/>
  <cols>
    <col min="1" max="1" width="16" style="10" customWidth="1"/>
    <col min="2" max="2" width="56.109375" style="1" customWidth="1"/>
    <col min="3" max="21" width="15" style="1" customWidth="1"/>
    <col min="22" max="22" width="15" style="5" customWidth="1"/>
    <col min="23" max="23" width="15" style="6" customWidth="1"/>
    <col min="24" max="25" width="15" style="1" customWidth="1"/>
    <col min="26" max="16384" width="12.109375" style="7"/>
  </cols>
  <sheetData>
    <row r="2" spans="1:25" s="2" customFormat="1" ht="15" customHeight="1" x14ac:dyDescent="0.4">
      <c r="A2" s="9"/>
      <c r="B2" s="90" t="str">
        <f>CONCATENATE("Number and percentage of public school female students ", LOWER(A7), ", by race/ethnicity, disability status, and English proficiency, by state: School Year 2017-18")</f>
        <v>Number and percentage of public school female students disciplined for engaging in harassment or bullying on the basis of disability, by race/ethnicity, disability status, and English proficiency, by state: School Year 2017-18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</row>
    <row r="3" spans="1:25" s="1" customFormat="1" ht="15" customHeight="1" thickBot="1" x14ac:dyDescent="0.35">
      <c r="A3" s="8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  <c r="X3" s="4"/>
      <c r="Y3" s="4"/>
    </row>
    <row r="4" spans="1:25" s="12" customFormat="1" ht="25" customHeight="1" x14ac:dyDescent="0.25">
      <c r="A4" s="11"/>
      <c r="B4" s="102" t="s">
        <v>0</v>
      </c>
      <c r="C4" s="104" t="s">
        <v>1</v>
      </c>
      <c r="D4" s="83" t="s">
        <v>74</v>
      </c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5"/>
      <c r="R4" s="86" t="s">
        <v>2</v>
      </c>
      <c r="S4" s="87"/>
      <c r="T4" s="86" t="s">
        <v>3</v>
      </c>
      <c r="U4" s="87"/>
      <c r="V4" s="86" t="s">
        <v>4</v>
      </c>
      <c r="W4" s="87"/>
      <c r="X4" s="93" t="s">
        <v>5</v>
      </c>
      <c r="Y4" s="95" t="s">
        <v>6</v>
      </c>
    </row>
    <row r="5" spans="1:25" s="12" customFormat="1" ht="25" customHeight="1" x14ac:dyDescent="0.3">
      <c r="A5" s="11"/>
      <c r="B5" s="103"/>
      <c r="C5" s="105"/>
      <c r="D5" s="97" t="s">
        <v>7</v>
      </c>
      <c r="E5" s="98"/>
      <c r="F5" s="99" t="s">
        <v>8</v>
      </c>
      <c r="G5" s="98"/>
      <c r="H5" s="100" t="s">
        <v>9</v>
      </c>
      <c r="I5" s="98"/>
      <c r="J5" s="100" t="s">
        <v>10</v>
      </c>
      <c r="K5" s="98"/>
      <c r="L5" s="100" t="s">
        <v>11</v>
      </c>
      <c r="M5" s="98"/>
      <c r="N5" s="100" t="s">
        <v>12</v>
      </c>
      <c r="O5" s="98"/>
      <c r="P5" s="100" t="s">
        <v>13</v>
      </c>
      <c r="Q5" s="101"/>
      <c r="R5" s="88"/>
      <c r="S5" s="89"/>
      <c r="T5" s="88"/>
      <c r="U5" s="89"/>
      <c r="V5" s="88"/>
      <c r="W5" s="89"/>
      <c r="X5" s="94"/>
      <c r="Y5" s="96"/>
    </row>
    <row r="6" spans="1:25" s="12" customFormat="1" ht="15" customHeight="1" thickBot="1" x14ac:dyDescent="0.35">
      <c r="A6" s="11"/>
      <c r="B6" s="13"/>
      <c r="C6" s="52"/>
      <c r="D6" s="14" t="s">
        <v>14</v>
      </c>
      <c r="E6" s="15" t="s">
        <v>15</v>
      </c>
      <c r="F6" s="16" t="s">
        <v>14</v>
      </c>
      <c r="G6" s="15" t="s">
        <v>15</v>
      </c>
      <c r="H6" s="16" t="s">
        <v>14</v>
      </c>
      <c r="I6" s="15" t="s">
        <v>15</v>
      </c>
      <c r="J6" s="16" t="s">
        <v>14</v>
      </c>
      <c r="K6" s="15" t="s">
        <v>15</v>
      </c>
      <c r="L6" s="16" t="s">
        <v>14</v>
      </c>
      <c r="M6" s="15" t="s">
        <v>15</v>
      </c>
      <c r="N6" s="16" t="s">
        <v>14</v>
      </c>
      <c r="O6" s="15" t="s">
        <v>15</v>
      </c>
      <c r="P6" s="16" t="s">
        <v>14</v>
      </c>
      <c r="Q6" s="17" t="s">
        <v>15</v>
      </c>
      <c r="R6" s="14" t="s">
        <v>14</v>
      </c>
      <c r="S6" s="18" t="s">
        <v>75</v>
      </c>
      <c r="T6" s="14" t="s">
        <v>14</v>
      </c>
      <c r="U6" s="18" t="s">
        <v>75</v>
      </c>
      <c r="V6" s="16" t="s">
        <v>14</v>
      </c>
      <c r="W6" s="18" t="s">
        <v>16</v>
      </c>
      <c r="X6" s="19"/>
      <c r="Y6" s="20"/>
    </row>
    <row r="7" spans="1:25" s="32" customFormat="1" ht="15" customHeight="1" x14ac:dyDescent="0.25">
      <c r="A7" s="21" t="str">
        <f>Total!A7</f>
        <v>disciplined for engaging in harassment or bullying on the basis of disability</v>
      </c>
      <c r="B7" s="59" t="s">
        <v>72</v>
      </c>
      <c r="C7" s="22">
        <v>2720</v>
      </c>
      <c r="D7" s="23">
        <v>59</v>
      </c>
      <c r="E7" s="24">
        <v>2.1690999999999998</v>
      </c>
      <c r="F7" s="25">
        <v>27</v>
      </c>
      <c r="G7" s="24">
        <v>0.99260000000000004</v>
      </c>
      <c r="H7" s="25">
        <v>648</v>
      </c>
      <c r="I7" s="24">
        <v>23.824000000000002</v>
      </c>
      <c r="J7" s="25">
        <v>778</v>
      </c>
      <c r="K7" s="24">
        <v>28.603000000000002</v>
      </c>
      <c r="L7" s="25">
        <v>1078</v>
      </c>
      <c r="M7" s="24">
        <v>39.631999999999998</v>
      </c>
      <c r="N7" s="25">
        <v>18</v>
      </c>
      <c r="O7" s="24">
        <v>0.66180000000000005</v>
      </c>
      <c r="P7" s="26">
        <v>112</v>
      </c>
      <c r="Q7" s="27">
        <v>4.1176000000000004</v>
      </c>
      <c r="R7" s="28">
        <v>510</v>
      </c>
      <c r="S7" s="27">
        <v>18.75</v>
      </c>
      <c r="T7" s="28">
        <v>59</v>
      </c>
      <c r="U7" s="27">
        <v>2.1690999999999998</v>
      </c>
      <c r="V7" s="28">
        <v>193</v>
      </c>
      <c r="W7" s="29">
        <v>7.0956000000000001</v>
      </c>
      <c r="X7" s="30">
        <v>97632</v>
      </c>
      <c r="Y7" s="31">
        <v>99.204999999999998</v>
      </c>
    </row>
    <row r="8" spans="1:25" s="32" customFormat="1" ht="15" customHeight="1" x14ac:dyDescent="0.25">
      <c r="A8" s="21" t="s">
        <v>18</v>
      </c>
      <c r="B8" s="33" t="s">
        <v>19</v>
      </c>
      <c r="C8" s="34">
        <v>14</v>
      </c>
      <c r="D8" s="35">
        <v>0</v>
      </c>
      <c r="E8" s="36">
        <v>0</v>
      </c>
      <c r="F8" s="45">
        <v>0</v>
      </c>
      <c r="G8" s="36">
        <v>0</v>
      </c>
      <c r="H8" s="37">
        <v>1</v>
      </c>
      <c r="I8" s="36">
        <v>7.1429999999999998</v>
      </c>
      <c r="J8" s="37">
        <v>8</v>
      </c>
      <c r="K8" s="36">
        <v>57.143000000000001</v>
      </c>
      <c r="L8" s="37">
        <v>3</v>
      </c>
      <c r="M8" s="36">
        <v>21.428999999999998</v>
      </c>
      <c r="N8" s="37">
        <v>0</v>
      </c>
      <c r="O8" s="36">
        <v>0</v>
      </c>
      <c r="P8" s="48">
        <v>2</v>
      </c>
      <c r="Q8" s="38">
        <v>14.2857</v>
      </c>
      <c r="R8" s="35">
        <v>1</v>
      </c>
      <c r="S8" s="38">
        <v>7.1429</v>
      </c>
      <c r="T8" s="46">
        <v>0</v>
      </c>
      <c r="U8" s="38">
        <v>0</v>
      </c>
      <c r="V8" s="35">
        <v>0</v>
      </c>
      <c r="W8" s="39">
        <v>0</v>
      </c>
      <c r="X8" s="40">
        <v>1390</v>
      </c>
      <c r="Y8" s="41">
        <v>94.028999999999996</v>
      </c>
    </row>
    <row r="9" spans="1:25" s="32" customFormat="1" ht="15" customHeight="1" x14ac:dyDescent="0.25">
      <c r="A9" s="21" t="s">
        <v>18</v>
      </c>
      <c r="B9" s="42" t="s">
        <v>20</v>
      </c>
      <c r="C9" s="22">
        <v>21</v>
      </c>
      <c r="D9" s="23">
        <v>8</v>
      </c>
      <c r="E9" s="24">
        <v>38.095199999999998</v>
      </c>
      <c r="F9" s="43">
        <v>0</v>
      </c>
      <c r="G9" s="24">
        <v>0</v>
      </c>
      <c r="H9" s="25">
        <v>12</v>
      </c>
      <c r="I9" s="24">
        <v>57.143000000000001</v>
      </c>
      <c r="J9" s="43">
        <v>1</v>
      </c>
      <c r="K9" s="24">
        <v>4.7619999999999996</v>
      </c>
      <c r="L9" s="25">
        <v>0</v>
      </c>
      <c r="M9" s="24">
        <v>0</v>
      </c>
      <c r="N9" s="25">
        <v>0</v>
      </c>
      <c r="O9" s="24">
        <v>0</v>
      </c>
      <c r="P9" s="47">
        <v>0</v>
      </c>
      <c r="Q9" s="24">
        <v>0</v>
      </c>
      <c r="R9" s="23">
        <v>1</v>
      </c>
      <c r="S9" s="24">
        <v>4.7618999999999998</v>
      </c>
      <c r="T9" s="44">
        <v>0</v>
      </c>
      <c r="U9" s="24">
        <v>0</v>
      </c>
      <c r="V9" s="23">
        <v>0</v>
      </c>
      <c r="W9" s="24">
        <v>0</v>
      </c>
      <c r="X9" s="30">
        <v>506</v>
      </c>
      <c r="Y9" s="31">
        <v>100</v>
      </c>
    </row>
    <row r="10" spans="1:25" s="32" customFormat="1" ht="15" customHeight="1" x14ac:dyDescent="0.25">
      <c r="A10" s="21" t="s">
        <v>18</v>
      </c>
      <c r="B10" s="33" t="s">
        <v>21</v>
      </c>
      <c r="C10" s="34">
        <v>92</v>
      </c>
      <c r="D10" s="35">
        <v>9</v>
      </c>
      <c r="E10" s="36">
        <v>9.7826000000000004</v>
      </c>
      <c r="F10" s="45">
        <v>1</v>
      </c>
      <c r="G10" s="36">
        <v>1.087</v>
      </c>
      <c r="H10" s="37">
        <v>45</v>
      </c>
      <c r="I10" s="36">
        <v>48.912999999999997</v>
      </c>
      <c r="J10" s="37">
        <v>9</v>
      </c>
      <c r="K10" s="36">
        <v>9.7829999999999995</v>
      </c>
      <c r="L10" s="37">
        <v>27</v>
      </c>
      <c r="M10" s="36">
        <v>29.347999999999999</v>
      </c>
      <c r="N10" s="37">
        <v>0</v>
      </c>
      <c r="O10" s="36">
        <v>0</v>
      </c>
      <c r="P10" s="48">
        <v>1</v>
      </c>
      <c r="Q10" s="38">
        <v>1.087</v>
      </c>
      <c r="R10" s="35">
        <v>11</v>
      </c>
      <c r="S10" s="38">
        <v>11.9565</v>
      </c>
      <c r="T10" s="46">
        <v>3</v>
      </c>
      <c r="U10" s="38">
        <v>3.2608999999999999</v>
      </c>
      <c r="V10" s="35">
        <v>0</v>
      </c>
      <c r="W10" s="39">
        <v>0</v>
      </c>
      <c r="X10" s="40">
        <v>2000</v>
      </c>
      <c r="Y10" s="41">
        <v>99.95</v>
      </c>
    </row>
    <row r="11" spans="1:25" s="32" customFormat="1" ht="15" customHeight="1" x14ac:dyDescent="0.25">
      <c r="A11" s="21" t="s">
        <v>18</v>
      </c>
      <c r="B11" s="42" t="s">
        <v>22</v>
      </c>
      <c r="C11" s="22">
        <v>18</v>
      </c>
      <c r="D11" s="23">
        <v>0</v>
      </c>
      <c r="E11" s="24">
        <v>0</v>
      </c>
      <c r="F11" s="43">
        <v>0</v>
      </c>
      <c r="G11" s="24">
        <v>0</v>
      </c>
      <c r="H11" s="25">
        <v>0</v>
      </c>
      <c r="I11" s="24">
        <v>0</v>
      </c>
      <c r="J11" s="43">
        <v>3</v>
      </c>
      <c r="K11" s="24">
        <v>16.667000000000002</v>
      </c>
      <c r="L11" s="25">
        <v>13</v>
      </c>
      <c r="M11" s="24">
        <v>72.221999999999994</v>
      </c>
      <c r="N11" s="25">
        <v>0</v>
      </c>
      <c r="O11" s="24">
        <v>0</v>
      </c>
      <c r="P11" s="47">
        <v>2</v>
      </c>
      <c r="Q11" s="27">
        <v>11.1111</v>
      </c>
      <c r="R11" s="23">
        <v>1</v>
      </c>
      <c r="S11" s="27">
        <v>5.5556000000000001</v>
      </c>
      <c r="T11" s="44">
        <v>0</v>
      </c>
      <c r="U11" s="27">
        <v>0</v>
      </c>
      <c r="V11" s="23">
        <v>0</v>
      </c>
      <c r="W11" s="29">
        <v>0</v>
      </c>
      <c r="X11" s="30">
        <v>1088</v>
      </c>
      <c r="Y11" s="31">
        <v>100</v>
      </c>
    </row>
    <row r="12" spans="1:25" s="32" customFormat="1" ht="15" customHeight="1" x14ac:dyDescent="0.25">
      <c r="A12" s="21" t="s">
        <v>18</v>
      </c>
      <c r="B12" s="33" t="s">
        <v>23</v>
      </c>
      <c r="C12" s="34">
        <v>347</v>
      </c>
      <c r="D12" s="35">
        <v>4</v>
      </c>
      <c r="E12" s="36">
        <v>1.1527000000000001</v>
      </c>
      <c r="F12" s="45">
        <v>5</v>
      </c>
      <c r="G12" s="36">
        <v>1.4409000000000001</v>
      </c>
      <c r="H12" s="37">
        <v>190</v>
      </c>
      <c r="I12" s="36">
        <v>54.755000000000003</v>
      </c>
      <c r="J12" s="37">
        <v>68</v>
      </c>
      <c r="K12" s="36">
        <v>19.597000000000001</v>
      </c>
      <c r="L12" s="37">
        <v>65</v>
      </c>
      <c r="M12" s="36">
        <v>18.731999999999999</v>
      </c>
      <c r="N12" s="37">
        <v>0</v>
      </c>
      <c r="O12" s="36">
        <v>0</v>
      </c>
      <c r="P12" s="48">
        <v>15</v>
      </c>
      <c r="Q12" s="38">
        <v>4.3228</v>
      </c>
      <c r="R12" s="35">
        <v>46</v>
      </c>
      <c r="S12" s="38">
        <v>13.256500000000001</v>
      </c>
      <c r="T12" s="46">
        <v>3</v>
      </c>
      <c r="U12" s="38">
        <v>0.86460000000000004</v>
      </c>
      <c r="V12" s="35">
        <v>66</v>
      </c>
      <c r="W12" s="39">
        <v>19.020199999999999</v>
      </c>
      <c r="X12" s="40">
        <v>10121</v>
      </c>
      <c r="Y12" s="41">
        <v>99.239000000000004</v>
      </c>
    </row>
    <row r="13" spans="1:25" s="32" customFormat="1" ht="15" customHeight="1" x14ac:dyDescent="0.25">
      <c r="A13" s="21" t="s">
        <v>18</v>
      </c>
      <c r="B13" s="42" t="s">
        <v>24</v>
      </c>
      <c r="C13" s="22">
        <v>6</v>
      </c>
      <c r="D13" s="23">
        <v>0</v>
      </c>
      <c r="E13" s="24">
        <v>0</v>
      </c>
      <c r="F13" s="43">
        <v>0</v>
      </c>
      <c r="G13" s="24">
        <v>0</v>
      </c>
      <c r="H13" s="25">
        <v>3</v>
      </c>
      <c r="I13" s="24">
        <v>50</v>
      </c>
      <c r="J13" s="43">
        <v>0</v>
      </c>
      <c r="K13" s="24">
        <v>0</v>
      </c>
      <c r="L13" s="25">
        <v>2</v>
      </c>
      <c r="M13" s="24">
        <v>33.332999999999998</v>
      </c>
      <c r="N13" s="25">
        <v>0</v>
      </c>
      <c r="O13" s="24">
        <v>0</v>
      </c>
      <c r="P13" s="47">
        <v>1</v>
      </c>
      <c r="Q13" s="27">
        <v>16.666699999999999</v>
      </c>
      <c r="R13" s="23">
        <v>1</v>
      </c>
      <c r="S13" s="27">
        <v>16.666699999999999</v>
      </c>
      <c r="T13" s="44">
        <v>0</v>
      </c>
      <c r="U13" s="27">
        <v>0</v>
      </c>
      <c r="V13" s="23">
        <v>1</v>
      </c>
      <c r="W13" s="29">
        <v>16.666699999999999</v>
      </c>
      <c r="X13" s="30">
        <v>1908</v>
      </c>
      <c r="Y13" s="31">
        <v>100</v>
      </c>
    </row>
    <row r="14" spans="1:25" s="32" customFormat="1" ht="15" customHeight="1" x14ac:dyDescent="0.25">
      <c r="A14" s="21" t="s">
        <v>18</v>
      </c>
      <c r="B14" s="33" t="s">
        <v>25</v>
      </c>
      <c r="C14" s="34">
        <v>17</v>
      </c>
      <c r="D14" s="35">
        <v>0</v>
      </c>
      <c r="E14" s="36">
        <v>0</v>
      </c>
      <c r="F14" s="45">
        <v>0</v>
      </c>
      <c r="G14" s="36">
        <v>0</v>
      </c>
      <c r="H14" s="37">
        <v>8</v>
      </c>
      <c r="I14" s="36">
        <v>47.058999999999997</v>
      </c>
      <c r="J14" s="37">
        <v>1</v>
      </c>
      <c r="K14" s="36">
        <v>5.8819999999999997</v>
      </c>
      <c r="L14" s="37">
        <v>8</v>
      </c>
      <c r="M14" s="36">
        <v>47.058999999999997</v>
      </c>
      <c r="N14" s="37">
        <v>0</v>
      </c>
      <c r="O14" s="36">
        <v>0</v>
      </c>
      <c r="P14" s="48">
        <v>0</v>
      </c>
      <c r="Q14" s="38">
        <v>0</v>
      </c>
      <c r="R14" s="35">
        <v>4</v>
      </c>
      <c r="S14" s="38">
        <v>23.529399999999999</v>
      </c>
      <c r="T14" s="46">
        <v>2</v>
      </c>
      <c r="U14" s="38">
        <v>11.764699999999999</v>
      </c>
      <c r="V14" s="35">
        <v>0</v>
      </c>
      <c r="W14" s="39">
        <v>0</v>
      </c>
      <c r="X14" s="40">
        <v>1214</v>
      </c>
      <c r="Y14" s="41">
        <v>100</v>
      </c>
    </row>
    <row r="15" spans="1:25" s="32" customFormat="1" ht="15" customHeight="1" x14ac:dyDescent="0.25">
      <c r="A15" s="21" t="s">
        <v>18</v>
      </c>
      <c r="B15" s="42" t="s">
        <v>26</v>
      </c>
      <c r="C15" s="22">
        <v>1</v>
      </c>
      <c r="D15" s="23">
        <v>0</v>
      </c>
      <c r="E15" s="24">
        <v>0</v>
      </c>
      <c r="F15" s="43">
        <v>0</v>
      </c>
      <c r="G15" s="24">
        <v>0</v>
      </c>
      <c r="H15" s="25">
        <v>0</v>
      </c>
      <c r="I15" s="24">
        <v>0</v>
      </c>
      <c r="J15" s="43">
        <v>0</v>
      </c>
      <c r="K15" s="24">
        <v>0</v>
      </c>
      <c r="L15" s="25">
        <v>1</v>
      </c>
      <c r="M15" s="24">
        <v>100</v>
      </c>
      <c r="N15" s="25">
        <v>0</v>
      </c>
      <c r="O15" s="24">
        <v>0</v>
      </c>
      <c r="P15" s="47">
        <v>0</v>
      </c>
      <c r="Q15" s="27">
        <v>0</v>
      </c>
      <c r="R15" s="23">
        <v>0</v>
      </c>
      <c r="S15" s="27">
        <v>0</v>
      </c>
      <c r="T15" s="44">
        <v>0</v>
      </c>
      <c r="U15" s="27">
        <v>0</v>
      </c>
      <c r="V15" s="23">
        <v>0</v>
      </c>
      <c r="W15" s="29">
        <v>0</v>
      </c>
      <c r="X15" s="30">
        <v>231</v>
      </c>
      <c r="Y15" s="31">
        <v>100</v>
      </c>
    </row>
    <row r="16" spans="1:25" s="32" customFormat="1" ht="15" customHeight="1" x14ac:dyDescent="0.25">
      <c r="A16" s="21" t="s">
        <v>18</v>
      </c>
      <c r="B16" s="33" t="s">
        <v>27</v>
      </c>
      <c r="C16" s="34">
        <v>1</v>
      </c>
      <c r="D16" s="35">
        <v>0</v>
      </c>
      <c r="E16" s="36">
        <v>0</v>
      </c>
      <c r="F16" s="45">
        <v>0</v>
      </c>
      <c r="G16" s="36">
        <v>0</v>
      </c>
      <c r="H16" s="37">
        <v>0</v>
      </c>
      <c r="I16" s="36">
        <v>0</v>
      </c>
      <c r="J16" s="37">
        <v>1</v>
      </c>
      <c r="K16" s="36">
        <v>100</v>
      </c>
      <c r="L16" s="37">
        <v>0</v>
      </c>
      <c r="M16" s="36">
        <v>0</v>
      </c>
      <c r="N16" s="37">
        <v>0</v>
      </c>
      <c r="O16" s="36">
        <v>0</v>
      </c>
      <c r="P16" s="48">
        <v>0</v>
      </c>
      <c r="Q16" s="38">
        <v>0</v>
      </c>
      <c r="R16" s="35">
        <v>0</v>
      </c>
      <c r="S16" s="38">
        <v>0</v>
      </c>
      <c r="T16" s="46">
        <v>0</v>
      </c>
      <c r="U16" s="38">
        <v>0</v>
      </c>
      <c r="V16" s="35">
        <v>0</v>
      </c>
      <c r="W16" s="39">
        <v>0</v>
      </c>
      <c r="X16" s="40">
        <v>228</v>
      </c>
      <c r="Y16" s="41">
        <v>99.561000000000007</v>
      </c>
    </row>
    <row r="17" spans="1:25" s="32" customFormat="1" ht="15" customHeight="1" x14ac:dyDescent="0.25">
      <c r="A17" s="21" t="s">
        <v>18</v>
      </c>
      <c r="B17" s="42" t="s">
        <v>28</v>
      </c>
      <c r="C17" s="22">
        <v>41</v>
      </c>
      <c r="D17" s="23">
        <v>0</v>
      </c>
      <c r="E17" s="24">
        <v>0</v>
      </c>
      <c r="F17" s="43">
        <v>0</v>
      </c>
      <c r="G17" s="24">
        <v>0</v>
      </c>
      <c r="H17" s="25">
        <v>5</v>
      </c>
      <c r="I17" s="24">
        <v>12.195</v>
      </c>
      <c r="J17" s="43">
        <v>23</v>
      </c>
      <c r="K17" s="24">
        <v>56.097999999999999</v>
      </c>
      <c r="L17" s="25">
        <v>9</v>
      </c>
      <c r="M17" s="24">
        <v>21.951000000000001</v>
      </c>
      <c r="N17" s="25">
        <v>0</v>
      </c>
      <c r="O17" s="24">
        <v>0</v>
      </c>
      <c r="P17" s="47">
        <v>4</v>
      </c>
      <c r="Q17" s="27">
        <v>9.7561</v>
      </c>
      <c r="R17" s="23">
        <v>17</v>
      </c>
      <c r="S17" s="27">
        <v>41.4634</v>
      </c>
      <c r="T17" s="44">
        <v>0</v>
      </c>
      <c r="U17" s="27">
        <v>0</v>
      </c>
      <c r="V17" s="23">
        <v>1</v>
      </c>
      <c r="W17" s="29">
        <v>2.4390000000000001</v>
      </c>
      <c r="X17" s="30">
        <v>3976</v>
      </c>
      <c r="Y17" s="31">
        <v>100</v>
      </c>
    </row>
    <row r="18" spans="1:25" s="32" customFormat="1" ht="15" customHeight="1" x14ac:dyDescent="0.25">
      <c r="A18" s="21" t="s">
        <v>18</v>
      </c>
      <c r="B18" s="33" t="s">
        <v>29</v>
      </c>
      <c r="C18" s="34">
        <v>46</v>
      </c>
      <c r="D18" s="35">
        <v>0</v>
      </c>
      <c r="E18" s="36">
        <v>0</v>
      </c>
      <c r="F18" s="45">
        <v>0</v>
      </c>
      <c r="G18" s="36">
        <v>0</v>
      </c>
      <c r="H18" s="37">
        <v>6</v>
      </c>
      <c r="I18" s="36">
        <v>13.042999999999999</v>
      </c>
      <c r="J18" s="37">
        <v>31</v>
      </c>
      <c r="K18" s="36">
        <v>67.391000000000005</v>
      </c>
      <c r="L18" s="37">
        <v>8</v>
      </c>
      <c r="M18" s="36">
        <v>17.390999999999998</v>
      </c>
      <c r="N18" s="37">
        <v>0</v>
      </c>
      <c r="O18" s="36">
        <v>0</v>
      </c>
      <c r="P18" s="48">
        <v>1</v>
      </c>
      <c r="Q18" s="38">
        <v>2.1739000000000002</v>
      </c>
      <c r="R18" s="35">
        <v>7</v>
      </c>
      <c r="S18" s="38">
        <v>15.2174</v>
      </c>
      <c r="T18" s="46">
        <v>0</v>
      </c>
      <c r="U18" s="38">
        <v>0</v>
      </c>
      <c r="V18" s="35">
        <v>2</v>
      </c>
      <c r="W18" s="39">
        <v>4.3478000000000003</v>
      </c>
      <c r="X18" s="40">
        <v>2416</v>
      </c>
      <c r="Y18" s="41">
        <v>100</v>
      </c>
    </row>
    <row r="19" spans="1:25" s="32" customFormat="1" ht="15" customHeight="1" x14ac:dyDescent="0.25">
      <c r="A19" s="21" t="s">
        <v>18</v>
      </c>
      <c r="B19" s="42" t="s">
        <v>30</v>
      </c>
      <c r="C19" s="22">
        <v>6</v>
      </c>
      <c r="D19" s="23">
        <v>0</v>
      </c>
      <c r="E19" s="24">
        <v>0</v>
      </c>
      <c r="F19" s="43">
        <v>0</v>
      </c>
      <c r="G19" s="24">
        <v>0</v>
      </c>
      <c r="H19" s="25">
        <v>2</v>
      </c>
      <c r="I19" s="24">
        <v>33.332999999999998</v>
      </c>
      <c r="J19" s="43">
        <v>0</v>
      </c>
      <c r="K19" s="24">
        <v>0</v>
      </c>
      <c r="L19" s="25">
        <v>0</v>
      </c>
      <c r="M19" s="24">
        <v>0</v>
      </c>
      <c r="N19" s="25">
        <v>4</v>
      </c>
      <c r="O19" s="24">
        <v>66.666700000000006</v>
      </c>
      <c r="P19" s="47">
        <v>0</v>
      </c>
      <c r="Q19" s="27">
        <v>0</v>
      </c>
      <c r="R19" s="23">
        <v>3</v>
      </c>
      <c r="S19" s="27">
        <v>50</v>
      </c>
      <c r="T19" s="44">
        <v>3</v>
      </c>
      <c r="U19" s="27">
        <v>50</v>
      </c>
      <c r="V19" s="23">
        <v>3</v>
      </c>
      <c r="W19" s="29">
        <v>50</v>
      </c>
      <c r="X19" s="30">
        <v>292</v>
      </c>
      <c r="Y19" s="31">
        <v>100</v>
      </c>
    </row>
    <row r="20" spans="1:25" s="32" customFormat="1" ht="15" customHeight="1" x14ac:dyDescent="0.25">
      <c r="A20" s="21" t="s">
        <v>18</v>
      </c>
      <c r="B20" s="33" t="s">
        <v>31</v>
      </c>
      <c r="C20" s="34">
        <v>5</v>
      </c>
      <c r="D20" s="35">
        <v>0</v>
      </c>
      <c r="E20" s="36">
        <v>0</v>
      </c>
      <c r="F20" s="45">
        <v>0</v>
      </c>
      <c r="G20" s="36">
        <v>0</v>
      </c>
      <c r="H20" s="37">
        <v>0</v>
      </c>
      <c r="I20" s="36">
        <v>0</v>
      </c>
      <c r="J20" s="37">
        <v>0</v>
      </c>
      <c r="K20" s="36">
        <v>0</v>
      </c>
      <c r="L20" s="37">
        <v>5</v>
      </c>
      <c r="M20" s="36">
        <v>100</v>
      </c>
      <c r="N20" s="37">
        <v>0</v>
      </c>
      <c r="O20" s="36">
        <v>0</v>
      </c>
      <c r="P20" s="48">
        <v>0</v>
      </c>
      <c r="Q20" s="38">
        <v>0</v>
      </c>
      <c r="R20" s="35">
        <v>1</v>
      </c>
      <c r="S20" s="38">
        <v>20</v>
      </c>
      <c r="T20" s="46">
        <v>0</v>
      </c>
      <c r="U20" s="38">
        <v>0</v>
      </c>
      <c r="V20" s="35">
        <v>0</v>
      </c>
      <c r="W20" s="39">
        <v>0</v>
      </c>
      <c r="X20" s="40">
        <v>725</v>
      </c>
      <c r="Y20" s="41">
        <v>100</v>
      </c>
    </row>
    <row r="21" spans="1:25" s="32" customFormat="1" ht="15" customHeight="1" x14ac:dyDescent="0.25">
      <c r="A21" s="21" t="s">
        <v>18</v>
      </c>
      <c r="B21" s="42" t="s">
        <v>32</v>
      </c>
      <c r="C21" s="22">
        <v>163</v>
      </c>
      <c r="D21" s="23">
        <v>0</v>
      </c>
      <c r="E21" s="24">
        <v>0</v>
      </c>
      <c r="F21" s="43">
        <v>6</v>
      </c>
      <c r="G21" s="24">
        <v>3.681</v>
      </c>
      <c r="H21" s="25">
        <v>27</v>
      </c>
      <c r="I21" s="24">
        <v>16.564</v>
      </c>
      <c r="J21" s="43">
        <v>81</v>
      </c>
      <c r="K21" s="24">
        <v>49.692999999999998</v>
      </c>
      <c r="L21" s="25">
        <v>42</v>
      </c>
      <c r="M21" s="24">
        <v>25.766999999999999</v>
      </c>
      <c r="N21" s="25">
        <v>0</v>
      </c>
      <c r="O21" s="24">
        <v>0</v>
      </c>
      <c r="P21" s="47">
        <v>7</v>
      </c>
      <c r="Q21" s="27">
        <v>4.2945000000000002</v>
      </c>
      <c r="R21" s="23">
        <v>22</v>
      </c>
      <c r="S21" s="27">
        <v>13.4969</v>
      </c>
      <c r="T21" s="44">
        <v>1</v>
      </c>
      <c r="U21" s="27">
        <v>0.61350000000000005</v>
      </c>
      <c r="V21" s="23">
        <v>11</v>
      </c>
      <c r="W21" s="29">
        <v>6.7484999999999999</v>
      </c>
      <c r="X21" s="30">
        <v>4145</v>
      </c>
      <c r="Y21" s="31">
        <v>87.165000000000006</v>
      </c>
    </row>
    <row r="22" spans="1:25" s="32" customFormat="1" ht="15" customHeight="1" x14ac:dyDescent="0.25">
      <c r="A22" s="21" t="s">
        <v>18</v>
      </c>
      <c r="B22" s="33" t="s">
        <v>33</v>
      </c>
      <c r="C22" s="34">
        <v>41</v>
      </c>
      <c r="D22" s="35">
        <v>0</v>
      </c>
      <c r="E22" s="36">
        <v>0</v>
      </c>
      <c r="F22" s="45">
        <v>0</v>
      </c>
      <c r="G22" s="36">
        <v>0</v>
      </c>
      <c r="H22" s="37">
        <v>5</v>
      </c>
      <c r="I22" s="36">
        <v>12.195</v>
      </c>
      <c r="J22" s="37">
        <v>23</v>
      </c>
      <c r="K22" s="36">
        <v>56.097999999999999</v>
      </c>
      <c r="L22" s="37">
        <v>11</v>
      </c>
      <c r="M22" s="36">
        <v>26.829000000000001</v>
      </c>
      <c r="N22" s="37">
        <v>0</v>
      </c>
      <c r="O22" s="36">
        <v>0</v>
      </c>
      <c r="P22" s="48">
        <v>2</v>
      </c>
      <c r="Q22" s="38">
        <v>4.8780000000000001</v>
      </c>
      <c r="R22" s="35">
        <v>3</v>
      </c>
      <c r="S22" s="38">
        <v>7.3170999999999999</v>
      </c>
      <c r="T22" s="46">
        <v>0</v>
      </c>
      <c r="U22" s="38">
        <v>0</v>
      </c>
      <c r="V22" s="35">
        <v>1</v>
      </c>
      <c r="W22" s="39">
        <v>2.4390000000000001</v>
      </c>
      <c r="X22" s="40">
        <v>1886</v>
      </c>
      <c r="Y22" s="41">
        <v>100</v>
      </c>
    </row>
    <row r="23" spans="1:25" s="32" customFormat="1" ht="15" customHeight="1" x14ac:dyDescent="0.25">
      <c r="A23" s="21" t="s">
        <v>18</v>
      </c>
      <c r="B23" s="42" t="s">
        <v>34</v>
      </c>
      <c r="C23" s="22">
        <v>36</v>
      </c>
      <c r="D23" s="23">
        <v>0</v>
      </c>
      <c r="E23" s="24">
        <v>0</v>
      </c>
      <c r="F23" s="43">
        <v>0</v>
      </c>
      <c r="G23" s="24">
        <v>0</v>
      </c>
      <c r="H23" s="25">
        <v>7</v>
      </c>
      <c r="I23" s="24">
        <v>19.443999999999999</v>
      </c>
      <c r="J23" s="43">
        <v>5</v>
      </c>
      <c r="K23" s="24">
        <v>13.888999999999999</v>
      </c>
      <c r="L23" s="25">
        <v>23</v>
      </c>
      <c r="M23" s="24">
        <v>63.889000000000003</v>
      </c>
      <c r="N23" s="25">
        <v>0</v>
      </c>
      <c r="O23" s="24">
        <v>0</v>
      </c>
      <c r="P23" s="47">
        <v>1</v>
      </c>
      <c r="Q23" s="27">
        <v>2.7778</v>
      </c>
      <c r="R23" s="23">
        <v>7</v>
      </c>
      <c r="S23" s="27">
        <v>19.444400000000002</v>
      </c>
      <c r="T23" s="44">
        <v>0</v>
      </c>
      <c r="U23" s="27">
        <v>0</v>
      </c>
      <c r="V23" s="23">
        <v>3</v>
      </c>
      <c r="W23" s="29">
        <v>8.3332999999999995</v>
      </c>
      <c r="X23" s="30">
        <v>1343</v>
      </c>
      <c r="Y23" s="31">
        <v>100</v>
      </c>
    </row>
    <row r="24" spans="1:25" s="32" customFormat="1" ht="15" customHeight="1" x14ac:dyDescent="0.25">
      <c r="A24" s="21" t="s">
        <v>18</v>
      </c>
      <c r="B24" s="33" t="s">
        <v>35</v>
      </c>
      <c r="C24" s="34">
        <v>17</v>
      </c>
      <c r="D24" s="35">
        <v>0</v>
      </c>
      <c r="E24" s="36">
        <v>0</v>
      </c>
      <c r="F24" s="45">
        <v>0</v>
      </c>
      <c r="G24" s="36">
        <v>0</v>
      </c>
      <c r="H24" s="37">
        <v>3</v>
      </c>
      <c r="I24" s="36">
        <v>17.646999999999998</v>
      </c>
      <c r="J24" s="37">
        <v>0</v>
      </c>
      <c r="K24" s="36">
        <v>0</v>
      </c>
      <c r="L24" s="37">
        <v>12</v>
      </c>
      <c r="M24" s="36">
        <v>70.587999999999994</v>
      </c>
      <c r="N24" s="37">
        <v>0</v>
      </c>
      <c r="O24" s="36">
        <v>0</v>
      </c>
      <c r="P24" s="48">
        <v>2</v>
      </c>
      <c r="Q24" s="38">
        <v>11.764699999999999</v>
      </c>
      <c r="R24" s="35">
        <v>5</v>
      </c>
      <c r="S24" s="38">
        <v>29.411799999999999</v>
      </c>
      <c r="T24" s="46">
        <v>0</v>
      </c>
      <c r="U24" s="38">
        <v>0</v>
      </c>
      <c r="V24" s="35">
        <v>1</v>
      </c>
      <c r="W24" s="39">
        <v>5.8823999999999996</v>
      </c>
      <c r="X24" s="40">
        <v>1350</v>
      </c>
      <c r="Y24" s="41">
        <v>100</v>
      </c>
    </row>
    <row r="25" spans="1:25" s="32" customFormat="1" ht="15" customHeight="1" x14ac:dyDescent="0.25">
      <c r="A25" s="21" t="s">
        <v>18</v>
      </c>
      <c r="B25" s="42" t="s">
        <v>36</v>
      </c>
      <c r="C25" s="22">
        <v>27</v>
      </c>
      <c r="D25" s="23">
        <v>0</v>
      </c>
      <c r="E25" s="24">
        <v>0</v>
      </c>
      <c r="F25" s="43">
        <v>0</v>
      </c>
      <c r="G25" s="24">
        <v>0</v>
      </c>
      <c r="H25" s="25">
        <v>0</v>
      </c>
      <c r="I25" s="24">
        <v>0</v>
      </c>
      <c r="J25" s="43">
        <v>13</v>
      </c>
      <c r="K25" s="24">
        <v>48.148000000000003</v>
      </c>
      <c r="L25" s="25">
        <v>13</v>
      </c>
      <c r="M25" s="24">
        <v>48.148000000000003</v>
      </c>
      <c r="N25" s="25">
        <v>0</v>
      </c>
      <c r="O25" s="24">
        <v>0</v>
      </c>
      <c r="P25" s="47">
        <v>1</v>
      </c>
      <c r="Q25" s="27">
        <v>3.7037</v>
      </c>
      <c r="R25" s="23">
        <v>1</v>
      </c>
      <c r="S25" s="27">
        <v>3.7037</v>
      </c>
      <c r="T25" s="44">
        <v>0</v>
      </c>
      <c r="U25" s="27">
        <v>0</v>
      </c>
      <c r="V25" s="23">
        <v>0</v>
      </c>
      <c r="W25" s="29">
        <v>0</v>
      </c>
      <c r="X25" s="30">
        <v>1401</v>
      </c>
      <c r="Y25" s="31">
        <v>100</v>
      </c>
    </row>
    <row r="26" spans="1:25" s="32" customFormat="1" ht="15" customHeight="1" x14ac:dyDescent="0.25">
      <c r="A26" s="21" t="s">
        <v>18</v>
      </c>
      <c r="B26" s="33" t="s">
        <v>37</v>
      </c>
      <c r="C26" s="34">
        <v>13</v>
      </c>
      <c r="D26" s="35">
        <v>0</v>
      </c>
      <c r="E26" s="36">
        <v>0</v>
      </c>
      <c r="F26" s="45">
        <v>0</v>
      </c>
      <c r="G26" s="36">
        <v>0</v>
      </c>
      <c r="H26" s="37">
        <v>3</v>
      </c>
      <c r="I26" s="36">
        <v>23.077000000000002</v>
      </c>
      <c r="J26" s="37">
        <v>8</v>
      </c>
      <c r="K26" s="36">
        <v>61.537999999999997</v>
      </c>
      <c r="L26" s="37">
        <v>2</v>
      </c>
      <c r="M26" s="36">
        <v>15.385</v>
      </c>
      <c r="N26" s="37">
        <v>0</v>
      </c>
      <c r="O26" s="36">
        <v>0</v>
      </c>
      <c r="P26" s="48">
        <v>0</v>
      </c>
      <c r="Q26" s="38">
        <v>0</v>
      </c>
      <c r="R26" s="35">
        <v>3</v>
      </c>
      <c r="S26" s="38">
        <v>23.076899999999998</v>
      </c>
      <c r="T26" s="46">
        <v>3</v>
      </c>
      <c r="U26" s="38">
        <v>23.076899999999998</v>
      </c>
      <c r="V26" s="35">
        <v>1</v>
      </c>
      <c r="W26" s="39">
        <v>7.6923000000000004</v>
      </c>
      <c r="X26" s="40">
        <v>1365</v>
      </c>
      <c r="Y26" s="41">
        <v>100</v>
      </c>
    </row>
    <row r="27" spans="1:25" s="32" customFormat="1" ht="15" customHeight="1" x14ac:dyDescent="0.25">
      <c r="A27" s="21" t="s">
        <v>18</v>
      </c>
      <c r="B27" s="42" t="s">
        <v>38</v>
      </c>
      <c r="C27" s="22">
        <v>19</v>
      </c>
      <c r="D27" s="23">
        <v>0</v>
      </c>
      <c r="E27" s="24">
        <v>0</v>
      </c>
      <c r="F27" s="43">
        <v>0</v>
      </c>
      <c r="G27" s="24">
        <v>0</v>
      </c>
      <c r="H27" s="25">
        <v>0</v>
      </c>
      <c r="I27" s="24">
        <v>0</v>
      </c>
      <c r="J27" s="43">
        <v>2</v>
      </c>
      <c r="K27" s="24">
        <v>10.526</v>
      </c>
      <c r="L27" s="25">
        <v>16</v>
      </c>
      <c r="M27" s="24">
        <v>84.210999999999999</v>
      </c>
      <c r="N27" s="25">
        <v>0</v>
      </c>
      <c r="O27" s="24">
        <v>0</v>
      </c>
      <c r="P27" s="47">
        <v>1</v>
      </c>
      <c r="Q27" s="27">
        <v>5.2632000000000003</v>
      </c>
      <c r="R27" s="23">
        <v>6</v>
      </c>
      <c r="S27" s="27">
        <v>31.578900000000001</v>
      </c>
      <c r="T27" s="44">
        <v>1</v>
      </c>
      <c r="U27" s="27">
        <v>5.2632000000000003</v>
      </c>
      <c r="V27" s="23">
        <v>0</v>
      </c>
      <c r="W27" s="29">
        <v>0</v>
      </c>
      <c r="X27" s="30">
        <v>579</v>
      </c>
      <c r="Y27" s="31">
        <v>100</v>
      </c>
    </row>
    <row r="28" spans="1:25" s="32" customFormat="1" ht="15" customHeight="1" x14ac:dyDescent="0.25">
      <c r="A28" s="21" t="s">
        <v>18</v>
      </c>
      <c r="B28" s="33" t="s">
        <v>39</v>
      </c>
      <c r="C28" s="34">
        <v>29</v>
      </c>
      <c r="D28" s="35">
        <v>0</v>
      </c>
      <c r="E28" s="36">
        <v>0</v>
      </c>
      <c r="F28" s="45">
        <v>1</v>
      </c>
      <c r="G28" s="36">
        <v>3.4483000000000001</v>
      </c>
      <c r="H28" s="37">
        <v>0</v>
      </c>
      <c r="I28" s="36">
        <v>0</v>
      </c>
      <c r="J28" s="37">
        <v>14</v>
      </c>
      <c r="K28" s="36">
        <v>48.276000000000003</v>
      </c>
      <c r="L28" s="37">
        <v>13</v>
      </c>
      <c r="M28" s="36">
        <v>44.828000000000003</v>
      </c>
      <c r="N28" s="37">
        <v>0</v>
      </c>
      <c r="O28" s="36">
        <v>0</v>
      </c>
      <c r="P28" s="48">
        <v>1</v>
      </c>
      <c r="Q28" s="38">
        <v>3.4483000000000001</v>
      </c>
      <c r="R28" s="35">
        <v>4</v>
      </c>
      <c r="S28" s="38">
        <v>13.793100000000001</v>
      </c>
      <c r="T28" s="46">
        <v>1</v>
      </c>
      <c r="U28" s="38">
        <v>3.4483000000000001</v>
      </c>
      <c r="V28" s="35">
        <v>0</v>
      </c>
      <c r="W28" s="39">
        <v>0</v>
      </c>
      <c r="X28" s="40">
        <v>1414</v>
      </c>
      <c r="Y28" s="41">
        <v>100</v>
      </c>
    </row>
    <row r="29" spans="1:25" s="32" customFormat="1" ht="15" customHeight="1" x14ac:dyDescent="0.25">
      <c r="A29" s="21" t="s">
        <v>18</v>
      </c>
      <c r="B29" s="42" t="s">
        <v>40</v>
      </c>
      <c r="C29" s="22">
        <v>31</v>
      </c>
      <c r="D29" s="23">
        <v>0</v>
      </c>
      <c r="E29" s="24">
        <v>0</v>
      </c>
      <c r="F29" s="43">
        <v>0</v>
      </c>
      <c r="G29" s="24">
        <v>0</v>
      </c>
      <c r="H29" s="25">
        <v>4</v>
      </c>
      <c r="I29" s="24">
        <v>12.903</v>
      </c>
      <c r="J29" s="43">
        <v>11</v>
      </c>
      <c r="K29" s="24">
        <v>35.484000000000002</v>
      </c>
      <c r="L29" s="25">
        <v>15</v>
      </c>
      <c r="M29" s="24">
        <v>48.387</v>
      </c>
      <c r="N29" s="25">
        <v>0</v>
      </c>
      <c r="O29" s="24">
        <v>0</v>
      </c>
      <c r="P29" s="47">
        <v>1</v>
      </c>
      <c r="Q29" s="27">
        <v>3.2258</v>
      </c>
      <c r="R29" s="23">
        <v>3</v>
      </c>
      <c r="S29" s="27">
        <v>9.6774000000000004</v>
      </c>
      <c r="T29" s="44">
        <v>3</v>
      </c>
      <c r="U29" s="27">
        <v>9.6774000000000004</v>
      </c>
      <c r="V29" s="23">
        <v>2</v>
      </c>
      <c r="W29" s="29">
        <v>6.4516</v>
      </c>
      <c r="X29" s="30">
        <v>1870</v>
      </c>
      <c r="Y29" s="31">
        <v>99.037000000000006</v>
      </c>
    </row>
    <row r="30" spans="1:25" s="32" customFormat="1" ht="15" customHeight="1" x14ac:dyDescent="0.25">
      <c r="A30" s="21" t="s">
        <v>18</v>
      </c>
      <c r="B30" s="33" t="s">
        <v>41</v>
      </c>
      <c r="C30" s="34">
        <v>136</v>
      </c>
      <c r="D30" s="35">
        <v>3</v>
      </c>
      <c r="E30" s="36">
        <v>2.2059000000000002</v>
      </c>
      <c r="F30" s="45">
        <v>1</v>
      </c>
      <c r="G30" s="36">
        <v>0.73529999999999995</v>
      </c>
      <c r="H30" s="37">
        <v>10</v>
      </c>
      <c r="I30" s="36">
        <v>7.3529999999999998</v>
      </c>
      <c r="J30" s="37">
        <v>24</v>
      </c>
      <c r="K30" s="36">
        <v>17.646999999999998</v>
      </c>
      <c r="L30" s="37">
        <v>89</v>
      </c>
      <c r="M30" s="36">
        <v>65.441000000000003</v>
      </c>
      <c r="N30" s="37">
        <v>1</v>
      </c>
      <c r="O30" s="36">
        <v>0.73529999999999995</v>
      </c>
      <c r="P30" s="48">
        <v>8</v>
      </c>
      <c r="Q30" s="38">
        <v>5.8823999999999996</v>
      </c>
      <c r="R30" s="35">
        <v>26</v>
      </c>
      <c r="S30" s="38">
        <v>19.117599999999999</v>
      </c>
      <c r="T30" s="46">
        <v>2</v>
      </c>
      <c r="U30" s="38">
        <v>1.4705999999999999</v>
      </c>
      <c r="V30" s="35">
        <v>5</v>
      </c>
      <c r="W30" s="39">
        <v>3.6764999999999999</v>
      </c>
      <c r="X30" s="40">
        <v>3559</v>
      </c>
      <c r="Y30" s="41">
        <v>100</v>
      </c>
    </row>
    <row r="31" spans="1:25" s="32" customFormat="1" ht="15" customHeight="1" x14ac:dyDescent="0.25">
      <c r="A31" s="21" t="s">
        <v>18</v>
      </c>
      <c r="B31" s="42" t="s">
        <v>42</v>
      </c>
      <c r="C31" s="22">
        <v>141</v>
      </c>
      <c r="D31" s="23">
        <v>15</v>
      </c>
      <c r="E31" s="24">
        <v>10.638299999999999</v>
      </c>
      <c r="F31" s="43">
        <v>4</v>
      </c>
      <c r="G31" s="24">
        <v>2.8369</v>
      </c>
      <c r="H31" s="25">
        <v>22</v>
      </c>
      <c r="I31" s="24">
        <v>15.603</v>
      </c>
      <c r="J31" s="43">
        <v>45</v>
      </c>
      <c r="K31" s="24">
        <v>31.914999999999999</v>
      </c>
      <c r="L31" s="25">
        <v>52</v>
      </c>
      <c r="M31" s="24">
        <v>36.878999999999998</v>
      </c>
      <c r="N31" s="25">
        <v>0</v>
      </c>
      <c r="O31" s="24">
        <v>0</v>
      </c>
      <c r="P31" s="47">
        <v>3</v>
      </c>
      <c r="Q31" s="27">
        <v>2.1276999999999999</v>
      </c>
      <c r="R31" s="23">
        <v>35</v>
      </c>
      <c r="S31" s="27">
        <v>24.822700000000001</v>
      </c>
      <c r="T31" s="44">
        <v>1</v>
      </c>
      <c r="U31" s="27">
        <v>0.70920000000000005</v>
      </c>
      <c r="V31" s="23">
        <v>16</v>
      </c>
      <c r="W31" s="29">
        <v>11.3475</v>
      </c>
      <c r="X31" s="30">
        <v>2232</v>
      </c>
      <c r="Y31" s="31">
        <v>100</v>
      </c>
    </row>
    <row r="32" spans="1:25" s="32" customFormat="1" ht="15" customHeight="1" x14ac:dyDescent="0.25">
      <c r="A32" s="21" t="s">
        <v>18</v>
      </c>
      <c r="B32" s="33" t="s">
        <v>43</v>
      </c>
      <c r="C32" s="34">
        <v>16</v>
      </c>
      <c r="D32" s="35">
        <v>0</v>
      </c>
      <c r="E32" s="36">
        <v>0</v>
      </c>
      <c r="F32" s="45">
        <v>0</v>
      </c>
      <c r="G32" s="36">
        <v>0</v>
      </c>
      <c r="H32" s="37">
        <v>0</v>
      </c>
      <c r="I32" s="36">
        <v>0</v>
      </c>
      <c r="J32" s="37">
        <v>11</v>
      </c>
      <c r="K32" s="36">
        <v>68.75</v>
      </c>
      <c r="L32" s="37">
        <v>5</v>
      </c>
      <c r="M32" s="36">
        <v>31.25</v>
      </c>
      <c r="N32" s="37">
        <v>0</v>
      </c>
      <c r="O32" s="36">
        <v>0</v>
      </c>
      <c r="P32" s="48">
        <v>0</v>
      </c>
      <c r="Q32" s="38">
        <v>0</v>
      </c>
      <c r="R32" s="35">
        <v>8</v>
      </c>
      <c r="S32" s="38">
        <v>50</v>
      </c>
      <c r="T32" s="46">
        <v>0</v>
      </c>
      <c r="U32" s="38">
        <v>0</v>
      </c>
      <c r="V32" s="35">
        <v>0</v>
      </c>
      <c r="W32" s="39">
        <v>0</v>
      </c>
      <c r="X32" s="40">
        <v>960</v>
      </c>
      <c r="Y32" s="41">
        <v>100</v>
      </c>
    </row>
    <row r="33" spans="1:25" s="32" customFormat="1" ht="15" customHeight="1" x14ac:dyDescent="0.25">
      <c r="A33" s="21" t="s">
        <v>18</v>
      </c>
      <c r="B33" s="42" t="s">
        <v>44</v>
      </c>
      <c r="C33" s="22">
        <v>107</v>
      </c>
      <c r="D33" s="23">
        <v>0</v>
      </c>
      <c r="E33" s="24">
        <v>0</v>
      </c>
      <c r="F33" s="43">
        <v>0</v>
      </c>
      <c r="G33" s="24">
        <v>0</v>
      </c>
      <c r="H33" s="25">
        <v>9</v>
      </c>
      <c r="I33" s="24">
        <v>8.4109999999999996</v>
      </c>
      <c r="J33" s="43">
        <v>58</v>
      </c>
      <c r="K33" s="24">
        <v>54.206000000000003</v>
      </c>
      <c r="L33" s="25">
        <v>37</v>
      </c>
      <c r="M33" s="24">
        <v>34.579000000000001</v>
      </c>
      <c r="N33" s="25">
        <v>1</v>
      </c>
      <c r="O33" s="24">
        <v>0.93459999999999999</v>
      </c>
      <c r="P33" s="47">
        <v>2</v>
      </c>
      <c r="Q33" s="27">
        <v>1.8692</v>
      </c>
      <c r="R33" s="23">
        <v>8</v>
      </c>
      <c r="S33" s="27">
        <v>7.4766000000000004</v>
      </c>
      <c r="T33" s="44">
        <v>1</v>
      </c>
      <c r="U33" s="27">
        <v>0.93459999999999999</v>
      </c>
      <c r="V33" s="23">
        <v>5</v>
      </c>
      <c r="W33" s="29">
        <v>4.6729000000000003</v>
      </c>
      <c r="X33" s="30">
        <v>2381</v>
      </c>
      <c r="Y33" s="31">
        <v>100</v>
      </c>
    </row>
    <row r="34" spans="1:25" s="32" customFormat="1" ht="15" customHeight="1" x14ac:dyDescent="0.25">
      <c r="A34" s="21" t="s">
        <v>18</v>
      </c>
      <c r="B34" s="33" t="s">
        <v>45</v>
      </c>
      <c r="C34" s="34">
        <v>19</v>
      </c>
      <c r="D34" s="35">
        <v>4</v>
      </c>
      <c r="E34" s="36">
        <v>21.052600000000002</v>
      </c>
      <c r="F34" s="45">
        <v>0</v>
      </c>
      <c r="G34" s="36">
        <v>0</v>
      </c>
      <c r="H34" s="37">
        <v>0</v>
      </c>
      <c r="I34" s="36">
        <v>0</v>
      </c>
      <c r="J34" s="37">
        <v>2</v>
      </c>
      <c r="K34" s="36">
        <v>10.526</v>
      </c>
      <c r="L34" s="37">
        <v>13</v>
      </c>
      <c r="M34" s="36">
        <v>68.421000000000006</v>
      </c>
      <c r="N34" s="37">
        <v>0</v>
      </c>
      <c r="O34" s="36">
        <v>0</v>
      </c>
      <c r="P34" s="48">
        <v>0</v>
      </c>
      <c r="Q34" s="38">
        <v>0</v>
      </c>
      <c r="R34" s="35">
        <v>0</v>
      </c>
      <c r="S34" s="38">
        <v>0</v>
      </c>
      <c r="T34" s="46">
        <v>0</v>
      </c>
      <c r="U34" s="38">
        <v>0</v>
      </c>
      <c r="V34" s="35">
        <v>0</v>
      </c>
      <c r="W34" s="39">
        <v>0</v>
      </c>
      <c r="X34" s="40">
        <v>823</v>
      </c>
      <c r="Y34" s="41">
        <v>96.233000000000004</v>
      </c>
    </row>
    <row r="35" spans="1:25" s="32" customFormat="1" ht="15" customHeight="1" x14ac:dyDescent="0.25">
      <c r="A35" s="21" t="s">
        <v>18</v>
      </c>
      <c r="B35" s="42" t="s">
        <v>46</v>
      </c>
      <c r="C35" s="22">
        <v>31</v>
      </c>
      <c r="D35" s="23">
        <v>0</v>
      </c>
      <c r="E35" s="24">
        <v>0</v>
      </c>
      <c r="F35" s="43">
        <v>0</v>
      </c>
      <c r="G35" s="24">
        <v>0</v>
      </c>
      <c r="H35" s="25">
        <v>2</v>
      </c>
      <c r="I35" s="24">
        <v>6.452</v>
      </c>
      <c r="J35" s="43">
        <v>11</v>
      </c>
      <c r="K35" s="24">
        <v>35.484000000000002</v>
      </c>
      <c r="L35" s="25">
        <v>15</v>
      </c>
      <c r="M35" s="24">
        <v>48.387</v>
      </c>
      <c r="N35" s="25">
        <v>0</v>
      </c>
      <c r="O35" s="24">
        <v>0</v>
      </c>
      <c r="P35" s="47">
        <v>3</v>
      </c>
      <c r="Q35" s="27">
        <v>9.6774000000000004</v>
      </c>
      <c r="R35" s="23">
        <v>11</v>
      </c>
      <c r="S35" s="27">
        <v>35.483899999999998</v>
      </c>
      <c r="T35" s="44">
        <v>0</v>
      </c>
      <c r="U35" s="27">
        <v>0</v>
      </c>
      <c r="V35" s="23">
        <v>0</v>
      </c>
      <c r="W35" s="29">
        <v>0</v>
      </c>
      <c r="X35" s="30">
        <v>1055</v>
      </c>
      <c r="Y35" s="31">
        <v>100</v>
      </c>
    </row>
    <row r="36" spans="1:25" s="32" customFormat="1" ht="15" customHeight="1" x14ac:dyDescent="0.25">
      <c r="A36" s="21" t="s">
        <v>18</v>
      </c>
      <c r="B36" s="33" t="s">
        <v>47</v>
      </c>
      <c r="C36" s="34">
        <v>5</v>
      </c>
      <c r="D36" s="35">
        <v>0</v>
      </c>
      <c r="E36" s="36">
        <v>0</v>
      </c>
      <c r="F36" s="45">
        <v>0</v>
      </c>
      <c r="G36" s="36">
        <v>0</v>
      </c>
      <c r="H36" s="37">
        <v>2</v>
      </c>
      <c r="I36" s="36">
        <v>40</v>
      </c>
      <c r="J36" s="37">
        <v>1</v>
      </c>
      <c r="K36" s="36">
        <v>20</v>
      </c>
      <c r="L36" s="37">
        <v>2</v>
      </c>
      <c r="M36" s="36">
        <v>40</v>
      </c>
      <c r="N36" s="37">
        <v>0</v>
      </c>
      <c r="O36" s="36">
        <v>0</v>
      </c>
      <c r="P36" s="48">
        <v>0</v>
      </c>
      <c r="Q36" s="38">
        <v>0</v>
      </c>
      <c r="R36" s="35">
        <v>2</v>
      </c>
      <c r="S36" s="38">
        <v>40</v>
      </c>
      <c r="T36" s="46">
        <v>0</v>
      </c>
      <c r="U36" s="38">
        <v>0</v>
      </c>
      <c r="V36" s="35">
        <v>2</v>
      </c>
      <c r="W36" s="39">
        <v>40</v>
      </c>
      <c r="X36" s="40">
        <v>704</v>
      </c>
      <c r="Y36" s="41">
        <v>100</v>
      </c>
    </row>
    <row r="37" spans="1:25" s="32" customFormat="1" ht="15" customHeight="1" x14ac:dyDescent="0.25">
      <c r="A37" s="21" t="s">
        <v>18</v>
      </c>
      <c r="B37" s="42" t="s">
        <v>48</v>
      </c>
      <c r="C37" s="22">
        <v>13</v>
      </c>
      <c r="D37" s="23">
        <v>0</v>
      </c>
      <c r="E37" s="24">
        <v>0</v>
      </c>
      <c r="F37" s="43">
        <v>1</v>
      </c>
      <c r="G37" s="24">
        <v>7.6923000000000004</v>
      </c>
      <c r="H37" s="25">
        <v>1</v>
      </c>
      <c r="I37" s="24">
        <v>7.6920000000000002</v>
      </c>
      <c r="J37" s="43">
        <v>1</v>
      </c>
      <c r="K37" s="24">
        <v>7.6920000000000002</v>
      </c>
      <c r="L37" s="25">
        <v>9</v>
      </c>
      <c r="M37" s="24">
        <v>69.230999999999995</v>
      </c>
      <c r="N37" s="25">
        <v>0</v>
      </c>
      <c r="O37" s="24">
        <v>0</v>
      </c>
      <c r="P37" s="47">
        <v>1</v>
      </c>
      <c r="Q37" s="27">
        <v>7.6923000000000004</v>
      </c>
      <c r="R37" s="23">
        <v>1</v>
      </c>
      <c r="S37" s="27">
        <v>7.6923000000000004</v>
      </c>
      <c r="T37" s="44">
        <v>2</v>
      </c>
      <c r="U37" s="27">
        <v>15.384600000000001</v>
      </c>
      <c r="V37" s="23">
        <v>0</v>
      </c>
      <c r="W37" s="29">
        <v>0</v>
      </c>
      <c r="X37" s="30">
        <v>491</v>
      </c>
      <c r="Y37" s="31">
        <v>100</v>
      </c>
    </row>
    <row r="38" spans="1:25" s="32" customFormat="1" ht="15" customHeight="1" x14ac:dyDescent="0.25">
      <c r="A38" s="21" t="s">
        <v>18</v>
      </c>
      <c r="B38" s="33" t="s">
        <v>49</v>
      </c>
      <c r="C38" s="34">
        <v>247</v>
      </c>
      <c r="D38" s="35">
        <v>0</v>
      </c>
      <c r="E38" s="36">
        <v>0</v>
      </c>
      <c r="F38" s="45">
        <v>2</v>
      </c>
      <c r="G38" s="36">
        <v>0.80969999999999998</v>
      </c>
      <c r="H38" s="37">
        <v>52</v>
      </c>
      <c r="I38" s="36">
        <v>21.053000000000001</v>
      </c>
      <c r="J38" s="37">
        <v>66</v>
      </c>
      <c r="K38" s="36">
        <v>26.721</v>
      </c>
      <c r="L38" s="37">
        <v>118</v>
      </c>
      <c r="M38" s="36">
        <v>47.773000000000003</v>
      </c>
      <c r="N38" s="37">
        <v>0</v>
      </c>
      <c r="O38" s="36">
        <v>0</v>
      </c>
      <c r="P38" s="48">
        <v>9</v>
      </c>
      <c r="Q38" s="38">
        <v>3.6436999999999999</v>
      </c>
      <c r="R38" s="35">
        <v>52</v>
      </c>
      <c r="S38" s="38">
        <v>21.052600000000002</v>
      </c>
      <c r="T38" s="46">
        <v>3</v>
      </c>
      <c r="U38" s="38">
        <v>1.2145999999999999</v>
      </c>
      <c r="V38" s="35">
        <v>0</v>
      </c>
      <c r="W38" s="39">
        <v>0</v>
      </c>
      <c r="X38" s="40">
        <v>2561</v>
      </c>
      <c r="Y38" s="41">
        <v>100</v>
      </c>
    </row>
    <row r="39" spans="1:25" s="32" customFormat="1" ht="15" customHeight="1" x14ac:dyDescent="0.25">
      <c r="A39" s="21" t="s">
        <v>18</v>
      </c>
      <c r="B39" s="42" t="s">
        <v>50</v>
      </c>
      <c r="C39" s="22">
        <v>2</v>
      </c>
      <c r="D39" s="23">
        <v>0</v>
      </c>
      <c r="E39" s="24">
        <v>0</v>
      </c>
      <c r="F39" s="43">
        <v>0</v>
      </c>
      <c r="G39" s="24">
        <v>0</v>
      </c>
      <c r="H39" s="25">
        <v>2</v>
      </c>
      <c r="I39" s="24">
        <v>100</v>
      </c>
      <c r="J39" s="43">
        <v>0</v>
      </c>
      <c r="K39" s="24">
        <v>0</v>
      </c>
      <c r="L39" s="25">
        <v>0</v>
      </c>
      <c r="M39" s="24">
        <v>0</v>
      </c>
      <c r="N39" s="25">
        <v>0</v>
      </c>
      <c r="O39" s="24">
        <v>0</v>
      </c>
      <c r="P39" s="47">
        <v>0</v>
      </c>
      <c r="Q39" s="27">
        <v>0</v>
      </c>
      <c r="R39" s="23">
        <v>1</v>
      </c>
      <c r="S39" s="27">
        <v>50</v>
      </c>
      <c r="T39" s="44">
        <v>0</v>
      </c>
      <c r="U39" s="27">
        <v>0</v>
      </c>
      <c r="V39" s="23">
        <v>1</v>
      </c>
      <c r="W39" s="29">
        <v>50</v>
      </c>
      <c r="X39" s="30">
        <v>866</v>
      </c>
      <c r="Y39" s="31">
        <v>100</v>
      </c>
    </row>
    <row r="40" spans="1:25" s="32" customFormat="1" ht="15" customHeight="1" x14ac:dyDescent="0.25">
      <c r="A40" s="21" t="s">
        <v>18</v>
      </c>
      <c r="B40" s="33" t="s">
        <v>51</v>
      </c>
      <c r="C40" s="34">
        <v>134</v>
      </c>
      <c r="D40" s="35">
        <v>0</v>
      </c>
      <c r="E40" s="36">
        <v>0</v>
      </c>
      <c r="F40" s="45">
        <v>1</v>
      </c>
      <c r="G40" s="36">
        <v>0.74629999999999996</v>
      </c>
      <c r="H40" s="37">
        <v>10</v>
      </c>
      <c r="I40" s="36">
        <v>7.4630000000000001</v>
      </c>
      <c r="J40" s="37">
        <v>22</v>
      </c>
      <c r="K40" s="36">
        <v>16.417999999999999</v>
      </c>
      <c r="L40" s="37">
        <v>97</v>
      </c>
      <c r="M40" s="36">
        <v>72.388000000000005</v>
      </c>
      <c r="N40" s="37">
        <v>0</v>
      </c>
      <c r="O40" s="36">
        <v>0</v>
      </c>
      <c r="P40" s="48">
        <v>4</v>
      </c>
      <c r="Q40" s="38">
        <v>2.9851000000000001</v>
      </c>
      <c r="R40" s="35">
        <v>28</v>
      </c>
      <c r="S40" s="38">
        <v>20.895499999999998</v>
      </c>
      <c r="T40" s="46">
        <v>7</v>
      </c>
      <c r="U40" s="38">
        <v>5.2239000000000004</v>
      </c>
      <c r="V40" s="35">
        <v>2</v>
      </c>
      <c r="W40" s="39">
        <v>1.4924999999999999</v>
      </c>
      <c r="X40" s="40">
        <v>4873</v>
      </c>
      <c r="Y40" s="41">
        <v>100</v>
      </c>
    </row>
    <row r="41" spans="1:25" s="32" customFormat="1" ht="15" customHeight="1" x14ac:dyDescent="0.25">
      <c r="A41" s="21" t="s">
        <v>18</v>
      </c>
      <c r="B41" s="42" t="s">
        <v>52</v>
      </c>
      <c r="C41" s="22">
        <v>13</v>
      </c>
      <c r="D41" s="23">
        <v>0</v>
      </c>
      <c r="E41" s="24">
        <v>0</v>
      </c>
      <c r="F41" s="43">
        <v>0</v>
      </c>
      <c r="G41" s="24">
        <v>0</v>
      </c>
      <c r="H41" s="25">
        <v>0</v>
      </c>
      <c r="I41" s="24">
        <v>0</v>
      </c>
      <c r="J41" s="43">
        <v>11</v>
      </c>
      <c r="K41" s="24">
        <v>84.614999999999995</v>
      </c>
      <c r="L41" s="25">
        <v>2</v>
      </c>
      <c r="M41" s="24">
        <v>15.385</v>
      </c>
      <c r="N41" s="25">
        <v>0</v>
      </c>
      <c r="O41" s="24">
        <v>0</v>
      </c>
      <c r="P41" s="47">
        <v>0</v>
      </c>
      <c r="Q41" s="27">
        <v>0</v>
      </c>
      <c r="R41" s="23">
        <v>2</v>
      </c>
      <c r="S41" s="27">
        <v>15.384600000000001</v>
      </c>
      <c r="T41" s="44">
        <v>0</v>
      </c>
      <c r="U41" s="27">
        <v>0</v>
      </c>
      <c r="V41" s="23">
        <v>0</v>
      </c>
      <c r="W41" s="29">
        <v>0</v>
      </c>
      <c r="X41" s="30">
        <v>2661</v>
      </c>
      <c r="Y41" s="31">
        <v>100</v>
      </c>
    </row>
    <row r="42" spans="1:25" s="32" customFormat="1" ht="15" customHeight="1" x14ac:dyDescent="0.25">
      <c r="A42" s="21" t="s">
        <v>18</v>
      </c>
      <c r="B42" s="33" t="s">
        <v>53</v>
      </c>
      <c r="C42" s="34">
        <v>6</v>
      </c>
      <c r="D42" s="35">
        <v>0</v>
      </c>
      <c r="E42" s="36">
        <v>0</v>
      </c>
      <c r="F42" s="45">
        <v>0</v>
      </c>
      <c r="G42" s="36">
        <v>0</v>
      </c>
      <c r="H42" s="37">
        <v>0</v>
      </c>
      <c r="I42" s="36">
        <v>0</v>
      </c>
      <c r="J42" s="37">
        <v>0</v>
      </c>
      <c r="K42" s="36">
        <v>0</v>
      </c>
      <c r="L42" s="37">
        <v>6</v>
      </c>
      <c r="M42" s="36">
        <v>100</v>
      </c>
      <c r="N42" s="37">
        <v>0</v>
      </c>
      <c r="O42" s="36">
        <v>0</v>
      </c>
      <c r="P42" s="48">
        <v>0</v>
      </c>
      <c r="Q42" s="38">
        <v>0</v>
      </c>
      <c r="R42" s="35">
        <v>0</v>
      </c>
      <c r="S42" s="38">
        <v>0</v>
      </c>
      <c r="T42" s="46">
        <v>0</v>
      </c>
      <c r="U42" s="38">
        <v>0</v>
      </c>
      <c r="V42" s="35">
        <v>1</v>
      </c>
      <c r="W42" s="39">
        <v>16.666699999999999</v>
      </c>
      <c r="X42" s="40">
        <v>483</v>
      </c>
      <c r="Y42" s="41">
        <v>100</v>
      </c>
    </row>
    <row r="43" spans="1:25" s="32" customFormat="1" ht="15" customHeight="1" x14ac:dyDescent="0.25">
      <c r="A43" s="21" t="s">
        <v>18</v>
      </c>
      <c r="B43" s="42" t="s">
        <v>54</v>
      </c>
      <c r="C43" s="22">
        <v>25</v>
      </c>
      <c r="D43" s="23">
        <v>0</v>
      </c>
      <c r="E43" s="24">
        <v>0</v>
      </c>
      <c r="F43" s="43">
        <v>0</v>
      </c>
      <c r="G43" s="24">
        <v>0</v>
      </c>
      <c r="H43" s="25">
        <v>0</v>
      </c>
      <c r="I43" s="24">
        <v>0</v>
      </c>
      <c r="J43" s="43">
        <v>12</v>
      </c>
      <c r="K43" s="24">
        <v>48</v>
      </c>
      <c r="L43" s="25">
        <v>13</v>
      </c>
      <c r="M43" s="24">
        <v>52</v>
      </c>
      <c r="N43" s="25">
        <v>0</v>
      </c>
      <c r="O43" s="24">
        <v>0</v>
      </c>
      <c r="P43" s="47">
        <v>0</v>
      </c>
      <c r="Q43" s="27">
        <v>0</v>
      </c>
      <c r="R43" s="23">
        <v>6</v>
      </c>
      <c r="S43" s="27">
        <v>24</v>
      </c>
      <c r="T43" s="44">
        <v>1</v>
      </c>
      <c r="U43" s="27">
        <v>4</v>
      </c>
      <c r="V43" s="23">
        <v>0</v>
      </c>
      <c r="W43" s="29">
        <v>0</v>
      </c>
      <c r="X43" s="30">
        <v>3593</v>
      </c>
      <c r="Y43" s="31">
        <v>100</v>
      </c>
    </row>
    <row r="44" spans="1:25" s="32" customFormat="1" ht="15" customHeight="1" x14ac:dyDescent="0.25">
      <c r="A44" s="21" t="s">
        <v>18</v>
      </c>
      <c r="B44" s="33" t="s">
        <v>55</v>
      </c>
      <c r="C44" s="34">
        <v>34</v>
      </c>
      <c r="D44" s="35">
        <v>7</v>
      </c>
      <c r="E44" s="36">
        <v>20.588200000000001</v>
      </c>
      <c r="F44" s="45">
        <v>0</v>
      </c>
      <c r="G44" s="36">
        <v>0</v>
      </c>
      <c r="H44" s="37">
        <v>1</v>
      </c>
      <c r="I44" s="36">
        <v>2.9409999999999998</v>
      </c>
      <c r="J44" s="37">
        <v>11</v>
      </c>
      <c r="K44" s="36">
        <v>32.353000000000002</v>
      </c>
      <c r="L44" s="37">
        <v>12</v>
      </c>
      <c r="M44" s="36">
        <v>35.293999999999997</v>
      </c>
      <c r="N44" s="37">
        <v>0</v>
      </c>
      <c r="O44" s="36">
        <v>0</v>
      </c>
      <c r="P44" s="48">
        <v>3</v>
      </c>
      <c r="Q44" s="38">
        <v>8.8234999999999992</v>
      </c>
      <c r="R44" s="35">
        <v>8</v>
      </c>
      <c r="S44" s="38">
        <v>23.529399999999999</v>
      </c>
      <c r="T44" s="46">
        <v>0</v>
      </c>
      <c r="U44" s="38">
        <v>0</v>
      </c>
      <c r="V44" s="35">
        <v>0</v>
      </c>
      <c r="W44" s="39">
        <v>0</v>
      </c>
      <c r="X44" s="40">
        <v>1816</v>
      </c>
      <c r="Y44" s="41">
        <v>100</v>
      </c>
    </row>
    <row r="45" spans="1:25" s="32" customFormat="1" ht="15" customHeight="1" x14ac:dyDescent="0.25">
      <c r="A45" s="21" t="s">
        <v>18</v>
      </c>
      <c r="B45" s="42" t="s">
        <v>56</v>
      </c>
      <c r="C45" s="22">
        <v>183</v>
      </c>
      <c r="D45" s="23">
        <v>0</v>
      </c>
      <c r="E45" s="24">
        <v>0</v>
      </c>
      <c r="F45" s="43">
        <v>1</v>
      </c>
      <c r="G45" s="24">
        <v>0.5464</v>
      </c>
      <c r="H45" s="25">
        <v>63</v>
      </c>
      <c r="I45" s="24">
        <v>34.426000000000002</v>
      </c>
      <c r="J45" s="43">
        <v>10</v>
      </c>
      <c r="K45" s="24">
        <v>5.4640000000000004</v>
      </c>
      <c r="L45" s="25">
        <v>86</v>
      </c>
      <c r="M45" s="24">
        <v>46.994999999999997</v>
      </c>
      <c r="N45" s="25">
        <v>7</v>
      </c>
      <c r="O45" s="24">
        <v>3.8250999999999999</v>
      </c>
      <c r="P45" s="47">
        <v>16</v>
      </c>
      <c r="Q45" s="27">
        <v>8.7431999999999999</v>
      </c>
      <c r="R45" s="23">
        <v>45</v>
      </c>
      <c r="S45" s="27">
        <v>24.590199999999999</v>
      </c>
      <c r="T45" s="44">
        <v>4</v>
      </c>
      <c r="U45" s="27">
        <v>2.1858</v>
      </c>
      <c r="V45" s="23">
        <v>28</v>
      </c>
      <c r="W45" s="29">
        <v>15.3005</v>
      </c>
      <c r="X45" s="30">
        <v>1289</v>
      </c>
      <c r="Y45" s="31">
        <v>100</v>
      </c>
    </row>
    <row r="46" spans="1:25" s="32" customFormat="1" ht="15" customHeight="1" x14ac:dyDescent="0.25">
      <c r="A46" s="21" t="s">
        <v>18</v>
      </c>
      <c r="B46" s="33" t="s">
        <v>57</v>
      </c>
      <c r="C46" s="34">
        <v>167</v>
      </c>
      <c r="D46" s="35">
        <v>1</v>
      </c>
      <c r="E46" s="36">
        <v>0.5988</v>
      </c>
      <c r="F46" s="45">
        <v>1</v>
      </c>
      <c r="G46" s="36">
        <v>0.5988</v>
      </c>
      <c r="H46" s="37">
        <v>65</v>
      </c>
      <c r="I46" s="36">
        <v>38.921999999999997</v>
      </c>
      <c r="J46" s="37">
        <v>39</v>
      </c>
      <c r="K46" s="36">
        <v>23.353000000000002</v>
      </c>
      <c r="L46" s="37">
        <v>52</v>
      </c>
      <c r="M46" s="36">
        <v>31.138000000000002</v>
      </c>
      <c r="N46" s="37">
        <v>1</v>
      </c>
      <c r="O46" s="36">
        <v>0.5988</v>
      </c>
      <c r="P46" s="48">
        <v>8</v>
      </c>
      <c r="Q46" s="38">
        <v>4.7904</v>
      </c>
      <c r="R46" s="35">
        <v>47</v>
      </c>
      <c r="S46" s="38">
        <v>28.143699999999999</v>
      </c>
      <c r="T46" s="46">
        <v>1</v>
      </c>
      <c r="U46" s="38">
        <v>0.5988</v>
      </c>
      <c r="V46" s="35">
        <v>11</v>
      </c>
      <c r="W46" s="39">
        <v>6.5868000000000002</v>
      </c>
      <c r="X46" s="40">
        <v>3006</v>
      </c>
      <c r="Y46" s="41">
        <v>100</v>
      </c>
    </row>
    <row r="47" spans="1:25" s="32" customFormat="1" ht="15" customHeight="1" x14ac:dyDescent="0.25">
      <c r="A47" s="21" t="s">
        <v>18</v>
      </c>
      <c r="B47" s="42" t="s">
        <v>58</v>
      </c>
      <c r="C47" s="22">
        <v>2</v>
      </c>
      <c r="D47" s="23">
        <v>0</v>
      </c>
      <c r="E47" s="24">
        <v>0</v>
      </c>
      <c r="F47" s="43">
        <v>0</v>
      </c>
      <c r="G47" s="24">
        <v>0</v>
      </c>
      <c r="H47" s="25">
        <v>1</v>
      </c>
      <c r="I47" s="24">
        <v>50</v>
      </c>
      <c r="J47" s="43">
        <v>1</v>
      </c>
      <c r="K47" s="24">
        <v>50</v>
      </c>
      <c r="L47" s="25">
        <v>0</v>
      </c>
      <c r="M47" s="24">
        <v>0</v>
      </c>
      <c r="N47" s="25">
        <v>0</v>
      </c>
      <c r="O47" s="24">
        <v>0</v>
      </c>
      <c r="P47" s="47">
        <v>0</v>
      </c>
      <c r="Q47" s="27">
        <v>0</v>
      </c>
      <c r="R47" s="23">
        <v>0</v>
      </c>
      <c r="S47" s="27">
        <v>0</v>
      </c>
      <c r="T47" s="44">
        <v>0</v>
      </c>
      <c r="U47" s="27">
        <v>0</v>
      </c>
      <c r="V47" s="23">
        <v>0</v>
      </c>
      <c r="W47" s="29">
        <v>0</v>
      </c>
      <c r="X47" s="30">
        <v>312</v>
      </c>
      <c r="Y47" s="31">
        <v>100</v>
      </c>
    </row>
    <row r="48" spans="1:25" s="32" customFormat="1" ht="15" customHeight="1" x14ac:dyDescent="0.25">
      <c r="A48" s="21" t="s">
        <v>18</v>
      </c>
      <c r="B48" s="33" t="s">
        <v>59</v>
      </c>
      <c r="C48" s="34">
        <v>65</v>
      </c>
      <c r="D48" s="35">
        <v>0</v>
      </c>
      <c r="E48" s="36">
        <v>0</v>
      </c>
      <c r="F48" s="45">
        <v>0</v>
      </c>
      <c r="G48" s="36">
        <v>0</v>
      </c>
      <c r="H48" s="37">
        <v>1</v>
      </c>
      <c r="I48" s="36">
        <v>1.538</v>
      </c>
      <c r="J48" s="37">
        <v>54</v>
      </c>
      <c r="K48" s="36">
        <v>83.076999999999998</v>
      </c>
      <c r="L48" s="37">
        <v>9</v>
      </c>
      <c r="M48" s="36">
        <v>13.846</v>
      </c>
      <c r="N48" s="37">
        <v>0</v>
      </c>
      <c r="O48" s="36">
        <v>0</v>
      </c>
      <c r="P48" s="48">
        <v>1</v>
      </c>
      <c r="Q48" s="38">
        <v>1.5385</v>
      </c>
      <c r="R48" s="35">
        <v>10</v>
      </c>
      <c r="S48" s="38">
        <v>15.384600000000001</v>
      </c>
      <c r="T48" s="46">
        <v>2</v>
      </c>
      <c r="U48" s="38">
        <v>3.0769000000000002</v>
      </c>
      <c r="V48" s="35">
        <v>0</v>
      </c>
      <c r="W48" s="39">
        <v>0</v>
      </c>
      <c r="X48" s="40">
        <v>1243</v>
      </c>
      <c r="Y48" s="41">
        <v>100</v>
      </c>
    </row>
    <row r="49" spans="1:25" s="32" customFormat="1" ht="15" customHeight="1" x14ac:dyDescent="0.25">
      <c r="A49" s="21" t="s">
        <v>18</v>
      </c>
      <c r="B49" s="42" t="s">
        <v>60</v>
      </c>
      <c r="C49" s="22">
        <v>3</v>
      </c>
      <c r="D49" s="23">
        <v>1</v>
      </c>
      <c r="E49" s="24">
        <v>33.333300000000001</v>
      </c>
      <c r="F49" s="43">
        <v>0</v>
      </c>
      <c r="G49" s="24">
        <v>0</v>
      </c>
      <c r="H49" s="25">
        <v>0</v>
      </c>
      <c r="I49" s="24">
        <v>0</v>
      </c>
      <c r="J49" s="43">
        <v>0</v>
      </c>
      <c r="K49" s="24">
        <v>0</v>
      </c>
      <c r="L49" s="25">
        <v>2</v>
      </c>
      <c r="M49" s="24">
        <v>66.667000000000002</v>
      </c>
      <c r="N49" s="25">
        <v>0</v>
      </c>
      <c r="O49" s="24">
        <v>0</v>
      </c>
      <c r="P49" s="47">
        <v>0</v>
      </c>
      <c r="Q49" s="27">
        <v>0</v>
      </c>
      <c r="R49" s="23">
        <v>0</v>
      </c>
      <c r="S49" s="27">
        <v>0</v>
      </c>
      <c r="T49" s="44">
        <v>0</v>
      </c>
      <c r="U49" s="27">
        <v>0</v>
      </c>
      <c r="V49" s="23">
        <v>0</v>
      </c>
      <c r="W49" s="29">
        <v>0</v>
      </c>
      <c r="X49" s="30">
        <v>698</v>
      </c>
      <c r="Y49" s="31">
        <v>100</v>
      </c>
    </row>
    <row r="50" spans="1:25" s="32" customFormat="1" ht="15" customHeight="1" x14ac:dyDescent="0.25">
      <c r="A50" s="21" t="s">
        <v>18</v>
      </c>
      <c r="B50" s="33" t="s">
        <v>61</v>
      </c>
      <c r="C50" s="34">
        <v>27</v>
      </c>
      <c r="D50" s="35">
        <v>0</v>
      </c>
      <c r="E50" s="36">
        <v>0</v>
      </c>
      <c r="F50" s="45">
        <v>0</v>
      </c>
      <c r="G50" s="36">
        <v>0</v>
      </c>
      <c r="H50" s="37">
        <v>4</v>
      </c>
      <c r="I50" s="36">
        <v>14.815</v>
      </c>
      <c r="J50" s="37">
        <v>6</v>
      </c>
      <c r="K50" s="36">
        <v>22.222000000000001</v>
      </c>
      <c r="L50" s="37">
        <v>17</v>
      </c>
      <c r="M50" s="36">
        <v>62.963000000000001</v>
      </c>
      <c r="N50" s="37">
        <v>0</v>
      </c>
      <c r="O50" s="36">
        <v>0</v>
      </c>
      <c r="P50" s="48">
        <v>0</v>
      </c>
      <c r="Q50" s="38">
        <v>0</v>
      </c>
      <c r="R50" s="35">
        <v>4</v>
      </c>
      <c r="S50" s="38">
        <v>14.8148</v>
      </c>
      <c r="T50" s="46">
        <v>0</v>
      </c>
      <c r="U50" s="38">
        <v>0</v>
      </c>
      <c r="V50" s="35">
        <v>0</v>
      </c>
      <c r="W50" s="39">
        <v>0</v>
      </c>
      <c r="X50" s="40">
        <v>1777</v>
      </c>
      <c r="Y50" s="41">
        <v>100</v>
      </c>
    </row>
    <row r="51" spans="1:25" s="32" customFormat="1" ht="15" customHeight="1" x14ac:dyDescent="0.25">
      <c r="A51" s="21" t="s">
        <v>18</v>
      </c>
      <c r="B51" s="42" t="s">
        <v>62</v>
      </c>
      <c r="C51" s="22">
        <v>80</v>
      </c>
      <c r="D51" s="23">
        <v>1</v>
      </c>
      <c r="E51" s="24">
        <v>1.25</v>
      </c>
      <c r="F51" s="43">
        <v>1</v>
      </c>
      <c r="G51" s="24">
        <v>1.25</v>
      </c>
      <c r="H51" s="25">
        <v>39</v>
      </c>
      <c r="I51" s="24">
        <v>48.75</v>
      </c>
      <c r="J51" s="43">
        <v>27</v>
      </c>
      <c r="K51" s="24">
        <v>33.75</v>
      </c>
      <c r="L51" s="25">
        <v>9</v>
      </c>
      <c r="M51" s="24">
        <v>11.25</v>
      </c>
      <c r="N51" s="25">
        <v>0</v>
      </c>
      <c r="O51" s="24">
        <v>0</v>
      </c>
      <c r="P51" s="47">
        <v>3</v>
      </c>
      <c r="Q51" s="27">
        <v>3.75</v>
      </c>
      <c r="R51" s="23">
        <v>8</v>
      </c>
      <c r="S51" s="27">
        <v>10</v>
      </c>
      <c r="T51" s="44">
        <v>12</v>
      </c>
      <c r="U51" s="27">
        <v>15</v>
      </c>
      <c r="V51" s="23">
        <v>16</v>
      </c>
      <c r="W51" s="29">
        <v>20</v>
      </c>
      <c r="X51" s="30">
        <v>8758</v>
      </c>
      <c r="Y51" s="31">
        <v>100</v>
      </c>
    </row>
    <row r="52" spans="1:25" s="32" customFormat="1" ht="15" customHeight="1" x14ac:dyDescent="0.25">
      <c r="A52" s="21" t="s">
        <v>18</v>
      </c>
      <c r="B52" s="33" t="s">
        <v>63</v>
      </c>
      <c r="C52" s="34">
        <v>61</v>
      </c>
      <c r="D52" s="35">
        <v>2</v>
      </c>
      <c r="E52" s="36">
        <v>3.2787000000000002</v>
      </c>
      <c r="F52" s="45">
        <v>0</v>
      </c>
      <c r="G52" s="36">
        <v>0</v>
      </c>
      <c r="H52" s="37">
        <v>18</v>
      </c>
      <c r="I52" s="36">
        <v>29.507999999999999</v>
      </c>
      <c r="J52" s="37">
        <v>0</v>
      </c>
      <c r="K52" s="36">
        <v>0</v>
      </c>
      <c r="L52" s="37">
        <v>38</v>
      </c>
      <c r="M52" s="36">
        <v>62.295000000000002</v>
      </c>
      <c r="N52" s="37">
        <v>2</v>
      </c>
      <c r="O52" s="36">
        <v>3.2787000000000002</v>
      </c>
      <c r="P52" s="48">
        <v>1</v>
      </c>
      <c r="Q52" s="38">
        <v>1.6393</v>
      </c>
      <c r="R52" s="35">
        <v>12</v>
      </c>
      <c r="S52" s="38">
        <v>19.6721</v>
      </c>
      <c r="T52" s="46">
        <v>0</v>
      </c>
      <c r="U52" s="38">
        <v>0</v>
      </c>
      <c r="V52" s="35">
        <v>5</v>
      </c>
      <c r="W52" s="39">
        <v>8.1966999999999999</v>
      </c>
      <c r="X52" s="40">
        <v>1029</v>
      </c>
      <c r="Y52" s="41">
        <v>100</v>
      </c>
    </row>
    <row r="53" spans="1:25" s="32" customFormat="1" ht="15" customHeight="1" x14ac:dyDescent="0.25">
      <c r="A53" s="21" t="s">
        <v>18</v>
      </c>
      <c r="B53" s="42" t="s">
        <v>64</v>
      </c>
      <c r="C53" s="22">
        <v>16</v>
      </c>
      <c r="D53" s="23">
        <v>0</v>
      </c>
      <c r="E53" s="24">
        <v>0</v>
      </c>
      <c r="F53" s="43">
        <v>0</v>
      </c>
      <c r="G53" s="24">
        <v>0</v>
      </c>
      <c r="H53" s="25">
        <v>0</v>
      </c>
      <c r="I53" s="24">
        <v>0</v>
      </c>
      <c r="J53" s="43">
        <v>1</v>
      </c>
      <c r="K53" s="24">
        <v>6.25</v>
      </c>
      <c r="L53" s="25">
        <v>15</v>
      </c>
      <c r="M53" s="24">
        <v>93.75</v>
      </c>
      <c r="N53" s="25">
        <v>0</v>
      </c>
      <c r="O53" s="24">
        <v>0</v>
      </c>
      <c r="P53" s="47">
        <v>0</v>
      </c>
      <c r="Q53" s="27">
        <v>0</v>
      </c>
      <c r="R53" s="23">
        <v>2</v>
      </c>
      <c r="S53" s="27">
        <v>12.5</v>
      </c>
      <c r="T53" s="44">
        <v>1</v>
      </c>
      <c r="U53" s="27">
        <v>6.25</v>
      </c>
      <c r="V53" s="23">
        <v>0</v>
      </c>
      <c r="W53" s="29">
        <v>0</v>
      </c>
      <c r="X53" s="30">
        <v>302</v>
      </c>
      <c r="Y53" s="31">
        <v>100</v>
      </c>
    </row>
    <row r="54" spans="1:25" s="32" customFormat="1" ht="15" customHeight="1" x14ac:dyDescent="0.25">
      <c r="A54" s="21" t="s">
        <v>18</v>
      </c>
      <c r="B54" s="33" t="s">
        <v>65</v>
      </c>
      <c r="C54" s="34">
        <v>61</v>
      </c>
      <c r="D54" s="35">
        <v>0</v>
      </c>
      <c r="E54" s="36">
        <v>0</v>
      </c>
      <c r="F54" s="45">
        <v>0</v>
      </c>
      <c r="G54" s="36">
        <v>0</v>
      </c>
      <c r="H54" s="37">
        <v>7</v>
      </c>
      <c r="I54" s="36">
        <v>11.475</v>
      </c>
      <c r="J54" s="37">
        <v>44</v>
      </c>
      <c r="K54" s="36">
        <v>72.131</v>
      </c>
      <c r="L54" s="37">
        <v>7</v>
      </c>
      <c r="M54" s="36">
        <v>11.475</v>
      </c>
      <c r="N54" s="37">
        <v>0</v>
      </c>
      <c r="O54" s="36">
        <v>0</v>
      </c>
      <c r="P54" s="48">
        <v>3</v>
      </c>
      <c r="Q54" s="38">
        <v>4.9180000000000001</v>
      </c>
      <c r="R54" s="35">
        <v>13</v>
      </c>
      <c r="S54" s="38">
        <v>21.311499999999999</v>
      </c>
      <c r="T54" s="46">
        <v>1</v>
      </c>
      <c r="U54" s="38">
        <v>1.6393</v>
      </c>
      <c r="V54" s="35">
        <v>4</v>
      </c>
      <c r="W54" s="39">
        <v>6.5574000000000003</v>
      </c>
      <c r="X54" s="40">
        <v>1982</v>
      </c>
      <c r="Y54" s="41">
        <v>98.385000000000005</v>
      </c>
    </row>
    <row r="55" spans="1:25" s="32" customFormat="1" ht="15" customHeight="1" x14ac:dyDescent="0.25">
      <c r="A55" s="21" t="s">
        <v>18</v>
      </c>
      <c r="B55" s="42" t="s">
        <v>66</v>
      </c>
      <c r="C55" s="22">
        <v>58</v>
      </c>
      <c r="D55" s="23">
        <v>3</v>
      </c>
      <c r="E55" s="24">
        <v>5.1723999999999997</v>
      </c>
      <c r="F55" s="43">
        <v>1</v>
      </c>
      <c r="G55" s="24">
        <v>1.7241</v>
      </c>
      <c r="H55" s="25">
        <v>10</v>
      </c>
      <c r="I55" s="24">
        <v>17.241</v>
      </c>
      <c r="J55" s="43">
        <v>8</v>
      </c>
      <c r="K55" s="24">
        <v>13.792999999999999</v>
      </c>
      <c r="L55" s="25">
        <v>30</v>
      </c>
      <c r="M55" s="24">
        <v>51.723999999999997</v>
      </c>
      <c r="N55" s="25">
        <v>2</v>
      </c>
      <c r="O55" s="24">
        <v>3.4483000000000001</v>
      </c>
      <c r="P55" s="47">
        <v>4</v>
      </c>
      <c r="Q55" s="27">
        <v>6.8966000000000003</v>
      </c>
      <c r="R55" s="23">
        <v>16</v>
      </c>
      <c r="S55" s="27">
        <v>27.586200000000002</v>
      </c>
      <c r="T55" s="44">
        <v>1</v>
      </c>
      <c r="U55" s="27">
        <v>1.7241</v>
      </c>
      <c r="V55" s="23">
        <v>5</v>
      </c>
      <c r="W55" s="29">
        <v>8.6206999999999994</v>
      </c>
      <c r="X55" s="30">
        <v>2339</v>
      </c>
      <c r="Y55" s="31">
        <v>100</v>
      </c>
    </row>
    <row r="56" spans="1:25" s="32" customFormat="1" ht="15" customHeight="1" x14ac:dyDescent="0.25">
      <c r="A56" s="21" t="s">
        <v>18</v>
      </c>
      <c r="B56" s="33" t="s">
        <v>67</v>
      </c>
      <c r="C56" s="34">
        <v>5</v>
      </c>
      <c r="D56" s="35">
        <v>0</v>
      </c>
      <c r="E56" s="36">
        <v>0</v>
      </c>
      <c r="F56" s="45">
        <v>0</v>
      </c>
      <c r="G56" s="36">
        <v>0</v>
      </c>
      <c r="H56" s="37">
        <v>0</v>
      </c>
      <c r="I56" s="36">
        <v>0</v>
      </c>
      <c r="J56" s="37">
        <v>1</v>
      </c>
      <c r="K56" s="36">
        <v>20</v>
      </c>
      <c r="L56" s="37">
        <v>4</v>
      </c>
      <c r="M56" s="36">
        <v>80</v>
      </c>
      <c r="N56" s="37">
        <v>0</v>
      </c>
      <c r="O56" s="36">
        <v>0</v>
      </c>
      <c r="P56" s="48">
        <v>0</v>
      </c>
      <c r="Q56" s="38">
        <v>0</v>
      </c>
      <c r="R56" s="35">
        <v>1</v>
      </c>
      <c r="S56" s="38">
        <v>20</v>
      </c>
      <c r="T56" s="46">
        <v>0</v>
      </c>
      <c r="U56" s="38">
        <v>0</v>
      </c>
      <c r="V56" s="35">
        <v>0</v>
      </c>
      <c r="W56" s="39">
        <v>0</v>
      </c>
      <c r="X56" s="40">
        <v>691</v>
      </c>
      <c r="Y56" s="41">
        <v>100</v>
      </c>
    </row>
    <row r="57" spans="1:25" s="32" customFormat="1" ht="15" customHeight="1" x14ac:dyDescent="0.25">
      <c r="A57" s="21" t="s">
        <v>18</v>
      </c>
      <c r="B57" s="42" t="s">
        <v>68</v>
      </c>
      <c r="C57" s="22">
        <v>66</v>
      </c>
      <c r="D57" s="23">
        <v>1</v>
      </c>
      <c r="E57" s="24">
        <v>1.5152000000000001</v>
      </c>
      <c r="F57" s="43">
        <v>0</v>
      </c>
      <c r="G57" s="24">
        <v>0</v>
      </c>
      <c r="H57" s="25">
        <v>8</v>
      </c>
      <c r="I57" s="24">
        <v>12.121</v>
      </c>
      <c r="J57" s="43">
        <v>10</v>
      </c>
      <c r="K57" s="24">
        <v>15.151999999999999</v>
      </c>
      <c r="L57" s="25">
        <v>46</v>
      </c>
      <c r="M57" s="24">
        <v>69.697000000000003</v>
      </c>
      <c r="N57" s="25">
        <v>0</v>
      </c>
      <c r="O57" s="24">
        <v>0</v>
      </c>
      <c r="P57" s="47">
        <v>1</v>
      </c>
      <c r="Q57" s="27">
        <v>1.5152000000000001</v>
      </c>
      <c r="R57" s="23">
        <v>17</v>
      </c>
      <c r="S57" s="27">
        <v>25.7576</v>
      </c>
      <c r="T57" s="44">
        <v>0</v>
      </c>
      <c r="U57" s="27">
        <v>0</v>
      </c>
      <c r="V57" s="23">
        <v>0</v>
      </c>
      <c r="W57" s="29">
        <v>0</v>
      </c>
      <c r="X57" s="30">
        <v>2235</v>
      </c>
      <c r="Y57" s="31">
        <v>99.954999999999998</v>
      </c>
    </row>
    <row r="58" spans="1:25" s="32" customFormat="1" ht="15" customHeight="1" x14ac:dyDescent="0.25">
      <c r="A58" s="21" t="s">
        <v>18</v>
      </c>
      <c r="B58" s="33" t="s">
        <v>69</v>
      </c>
      <c r="C58" s="34">
        <v>6</v>
      </c>
      <c r="D58" s="46">
        <v>0</v>
      </c>
      <c r="E58" s="36">
        <v>0</v>
      </c>
      <c r="F58" s="37">
        <v>1</v>
      </c>
      <c r="G58" s="36">
        <v>16.666699999999999</v>
      </c>
      <c r="H58" s="45">
        <v>0</v>
      </c>
      <c r="I58" s="36">
        <v>0</v>
      </c>
      <c r="J58" s="37">
        <v>0</v>
      </c>
      <c r="K58" s="36">
        <v>0</v>
      </c>
      <c r="L58" s="37">
        <v>5</v>
      </c>
      <c r="M58" s="36">
        <v>83.332999999999998</v>
      </c>
      <c r="N58" s="37">
        <v>0</v>
      </c>
      <c r="O58" s="36">
        <v>0</v>
      </c>
      <c r="P58" s="48">
        <v>0</v>
      </c>
      <c r="Q58" s="38">
        <v>0</v>
      </c>
      <c r="R58" s="35">
        <v>0</v>
      </c>
      <c r="S58" s="38">
        <v>0</v>
      </c>
      <c r="T58" s="35">
        <v>0</v>
      </c>
      <c r="U58" s="38">
        <v>0</v>
      </c>
      <c r="V58" s="35">
        <v>0</v>
      </c>
      <c r="W58" s="39">
        <v>0</v>
      </c>
      <c r="X58" s="40">
        <v>366</v>
      </c>
      <c r="Y58" s="41">
        <v>100</v>
      </c>
    </row>
    <row r="59" spans="1:25" s="32" customFormat="1" ht="15" customHeight="1" thickBot="1" x14ac:dyDescent="0.3">
      <c r="A59" s="21" t="s">
        <v>18</v>
      </c>
      <c r="B59" s="42" t="s">
        <v>71</v>
      </c>
      <c r="C59" s="60">
        <v>0</v>
      </c>
      <c r="D59" s="61">
        <v>0</v>
      </c>
      <c r="E59" s="62">
        <v>0</v>
      </c>
      <c r="F59" s="63">
        <v>0</v>
      </c>
      <c r="G59" s="62">
        <v>0</v>
      </c>
      <c r="H59" s="64">
        <v>0</v>
      </c>
      <c r="I59" s="62">
        <v>0</v>
      </c>
      <c r="J59" s="63">
        <v>0</v>
      </c>
      <c r="K59" s="62">
        <v>0</v>
      </c>
      <c r="L59" s="63">
        <v>0</v>
      </c>
      <c r="M59" s="62">
        <v>0</v>
      </c>
      <c r="N59" s="63">
        <v>0</v>
      </c>
      <c r="O59" s="62">
        <v>0</v>
      </c>
      <c r="P59" s="65">
        <v>0</v>
      </c>
      <c r="Q59" s="62">
        <v>0</v>
      </c>
      <c r="R59" s="66">
        <v>0</v>
      </c>
      <c r="S59" s="62">
        <v>0</v>
      </c>
      <c r="T59" s="66">
        <v>0</v>
      </c>
      <c r="U59" s="62">
        <v>0</v>
      </c>
      <c r="V59" s="66">
        <v>0</v>
      </c>
      <c r="W59" s="62">
        <v>0</v>
      </c>
      <c r="X59" s="67">
        <v>1099</v>
      </c>
      <c r="Y59" s="68">
        <v>100</v>
      </c>
    </row>
    <row r="60" spans="1:25" s="51" customFormat="1" ht="15" customHeight="1" x14ac:dyDescent="0.25">
      <c r="A60" s="53"/>
      <c r="B60" s="69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4"/>
      <c r="W60" s="55"/>
      <c r="X60" s="50"/>
      <c r="Y60" s="50"/>
    </row>
    <row r="61" spans="1:25" s="32" customFormat="1" ht="15" customHeight="1" x14ac:dyDescent="0.25">
      <c r="A61" s="21"/>
      <c r="B61" s="58" t="s">
        <v>76</v>
      </c>
      <c r="C61" s="57"/>
      <c r="D61" s="57"/>
      <c r="E61" s="57"/>
      <c r="F61" s="57"/>
      <c r="G61" s="57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7"/>
      <c r="W61" s="57"/>
      <c r="X61" s="56"/>
      <c r="Y61" s="56"/>
    </row>
    <row r="62" spans="1:25" s="51" customFormat="1" ht="27.75" customHeight="1" x14ac:dyDescent="0.25">
      <c r="A62" s="53"/>
      <c r="B62" s="106" t="str">
        <f>CONCATENATE("NOTE: Table reads (for 50 states, District of Columbia, and Puerto Rico Totals):  Of all ",IF(ISTEXT(C7),LEFT(C7,3),TEXT(C7,"#,##0"))," public school female students ",LOWER(A7),", ",IF(ISTEXT(D7),LEFT(D7,3),TEXT(D7,"#,##0"))," (", TEXT(E7,"0.0"),"%) were American Indian or Alaska Native, ",IF(ISTEXT(R7),LEFT(R7,3),TEXT(R7,"#,##0"))," (",TEXT(S7,"0.0"),"%) were students with disabilities served under the Individuals with Disabilities Education Act (IDEA), and ",IF(ISTEXT(T7),LEFT(T7,3),TEXT(T7,"#,##0"))," (",TEXT(U7,"0.0"),"%) were students with disabilities served solely under Section 504 of the Rehabilitation Act of 1973.")</f>
        <v>NOTE: Table reads (for 50 states, District of Columbia, and Puerto Rico Totals):  Of all 2,720 public school female students disciplined for engaging in harassment or bullying on the basis of disability, 59 (2.2%) were American Indian or Alaska Native, 510 (18.8%) were students with disabilities served under the Individuals with Disabilities Education Act (IDEA), and 59 (2.2%) were students with disabilities served solely under Section 504 of the Rehabilitation Act of 1973.</v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</row>
    <row r="63" spans="1:25" s="32" customFormat="1" ht="15" customHeight="1" x14ac:dyDescent="0.25">
      <c r="A63" s="21"/>
      <c r="B63" s="91" t="s">
        <v>73</v>
      </c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56"/>
      <c r="Y63" s="56"/>
    </row>
    <row r="64" spans="1:25" s="51" customFormat="1" ht="14.15" customHeight="1" x14ac:dyDescent="0.25">
      <c r="B64" s="91" t="s">
        <v>70</v>
      </c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50"/>
      <c r="Y64" s="49"/>
    </row>
    <row r="65" spans="1:25" s="51" customFormat="1" ht="15" customHeight="1" x14ac:dyDescent="0.3">
      <c r="A65" s="5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5"/>
      <c r="W65" s="6"/>
      <c r="X65" s="50"/>
      <c r="Y65" s="50"/>
    </row>
  </sheetData>
  <sortState xmlns:xlrd2="http://schemas.microsoft.com/office/spreadsheetml/2017/richdata2" ref="B8:Y59">
    <sortCondition ref="B8:B59"/>
  </sortState>
  <mergeCells count="19">
    <mergeCell ref="B63:W63"/>
    <mergeCell ref="B64:W64"/>
    <mergeCell ref="V4:W5"/>
    <mergeCell ref="X4:X5"/>
    <mergeCell ref="D5:E5"/>
    <mergeCell ref="F5:G5"/>
    <mergeCell ref="H5:I5"/>
    <mergeCell ref="J5:K5"/>
    <mergeCell ref="L5:M5"/>
    <mergeCell ref="N5:O5"/>
    <mergeCell ref="P5:Q5"/>
    <mergeCell ref="B4:B5"/>
    <mergeCell ref="C4:C5"/>
    <mergeCell ref="D4:Q4"/>
    <mergeCell ref="R4:S5"/>
    <mergeCell ref="T4:U5"/>
    <mergeCell ref="B2:Y2"/>
    <mergeCell ref="B62:Y62"/>
    <mergeCell ref="Y4:Y5"/>
  </mergeCells>
  <phoneticPr fontId="15" type="noConversion"/>
  <printOptions horizontalCentered="1"/>
  <pageMargins left="0.5" right="0.5" top="1" bottom="1" header="0.5" footer="0.5"/>
  <pageSetup paperSize="3" scale="58" orientation="landscape" horizontalDpi="4294967292" verticalDpi="4294967292" r:id="rId1"/>
  <extLst>
    <ext xmlns:mx="http://schemas.microsoft.com/office/mac/excel/2008/main" uri="{64002731-A6B0-56B0-2670-7721B7C09600}">
      <mx:PLV Mode="0" OnePage="0" WScale="4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D8A8-0553-4EDA-BBE6-D2C7713910E2}">
  <dimension ref="A1:X55"/>
  <sheetViews>
    <sheetView topLeftCell="A46" zoomScale="70" zoomScaleNormal="70" workbookViewId="0">
      <selection activeCell="C2" sqref="C2"/>
    </sheetView>
  </sheetViews>
  <sheetFormatPr defaultRowHeight="14" x14ac:dyDescent="0.3"/>
  <cols>
    <col min="1" max="1" width="49.44140625" style="71" bestFit="1" customWidth="1"/>
    <col min="2" max="2" width="10.6640625" style="76" customWidth="1"/>
    <col min="3" max="4" width="11.33203125" style="71" bestFit="1" customWidth="1"/>
    <col min="5" max="5" width="7.109375" style="71" bestFit="1" customWidth="1"/>
    <col min="6" max="6" width="9.44140625" style="71" bestFit="1" customWidth="1"/>
    <col min="7" max="7" width="11.109375" style="76" bestFit="1" customWidth="1"/>
    <col min="8" max="8" width="11.21875" style="71" bestFit="1" customWidth="1"/>
    <col min="9" max="9" width="10.109375" style="76" bestFit="1" customWidth="1"/>
    <col min="10" max="10" width="11.33203125" style="71" bestFit="1" customWidth="1"/>
    <col min="11" max="11" width="7.44140625" style="76" bestFit="1" customWidth="1"/>
    <col min="12" max="12" width="9.88671875" style="71" bestFit="1" customWidth="1"/>
    <col min="13" max="14" width="15.109375" style="71" bestFit="1" customWidth="1"/>
    <col min="15" max="15" width="8.6640625" style="71" bestFit="1" customWidth="1"/>
    <col min="16" max="16" width="9.6640625" style="71" bestFit="1" customWidth="1"/>
    <col min="17" max="17" width="16.21875" style="76" bestFit="1" customWidth="1"/>
    <col min="18" max="18" width="16.21875" style="71" bestFit="1" customWidth="1"/>
    <col min="19" max="20" width="20.88671875" style="71" bestFit="1" customWidth="1"/>
    <col min="21" max="21" width="10.44140625" style="71" bestFit="1" customWidth="1"/>
    <col min="22" max="22" width="11.44140625" style="71" bestFit="1" customWidth="1"/>
    <col min="23" max="23" width="8.88671875" style="76"/>
    <col min="24" max="24" width="11.88671875" style="71" bestFit="1" customWidth="1"/>
    <col min="25" max="25" width="8.88671875" style="71"/>
    <col min="26" max="26" width="255.77734375" style="71" bestFit="1" customWidth="1"/>
    <col min="27" max="16384" width="8.88671875" style="71"/>
  </cols>
  <sheetData>
    <row r="1" spans="1:24" ht="15" x14ac:dyDescent="0.3">
      <c r="A1" s="73" t="s">
        <v>90</v>
      </c>
    </row>
    <row r="2" spans="1:24" s="72" customFormat="1" ht="65" customHeight="1" x14ac:dyDescent="0.3">
      <c r="A2" s="72" t="s">
        <v>0</v>
      </c>
      <c r="B2" s="77" t="s">
        <v>1</v>
      </c>
      <c r="C2" s="74" t="s">
        <v>103</v>
      </c>
      <c r="D2" s="74" t="s">
        <v>82</v>
      </c>
      <c r="E2" s="75" t="s">
        <v>8</v>
      </c>
      <c r="F2" s="75" t="s">
        <v>78</v>
      </c>
      <c r="G2" s="77" t="s">
        <v>9</v>
      </c>
      <c r="H2" s="74" t="s">
        <v>79</v>
      </c>
      <c r="I2" s="77" t="s">
        <v>10</v>
      </c>
      <c r="J2" s="74" t="s">
        <v>89</v>
      </c>
      <c r="K2" s="78" t="s">
        <v>11</v>
      </c>
      <c r="L2" s="75" t="s">
        <v>80</v>
      </c>
      <c r="M2" s="74" t="s">
        <v>12</v>
      </c>
      <c r="N2" s="74" t="s">
        <v>83</v>
      </c>
      <c r="O2" s="74" t="s">
        <v>13</v>
      </c>
      <c r="P2" s="74" t="s">
        <v>84</v>
      </c>
      <c r="Q2" s="77" t="s">
        <v>2</v>
      </c>
      <c r="R2" s="74" t="s">
        <v>85</v>
      </c>
      <c r="S2" s="74" t="s">
        <v>3</v>
      </c>
      <c r="T2" s="74" t="s">
        <v>86</v>
      </c>
      <c r="U2" s="74" t="s">
        <v>4</v>
      </c>
      <c r="V2" s="74" t="s">
        <v>87</v>
      </c>
      <c r="W2" s="77" t="s">
        <v>5</v>
      </c>
      <c r="X2" s="74" t="s">
        <v>88</v>
      </c>
    </row>
    <row r="3" spans="1:24" x14ac:dyDescent="0.3">
      <c r="A3" s="71" t="s">
        <v>72</v>
      </c>
      <c r="B3" s="76">
        <v>9494</v>
      </c>
      <c r="C3" s="71">
        <v>139</v>
      </c>
      <c r="D3" s="71">
        <v>1.5</v>
      </c>
      <c r="E3" s="71">
        <v>164</v>
      </c>
      <c r="F3" s="71">
        <v>1.7</v>
      </c>
      <c r="G3" s="76">
        <v>2021</v>
      </c>
      <c r="H3" s="71">
        <v>21.3</v>
      </c>
      <c r="I3" s="76">
        <v>1892</v>
      </c>
      <c r="J3" s="71">
        <v>19.899999999999999</v>
      </c>
      <c r="K3" s="76">
        <v>4866</v>
      </c>
      <c r="L3" s="71">
        <v>51.3</v>
      </c>
      <c r="M3" s="71">
        <v>53</v>
      </c>
      <c r="N3" s="71">
        <v>0.6</v>
      </c>
      <c r="O3" s="71">
        <v>359</v>
      </c>
      <c r="P3" s="71">
        <v>3.8</v>
      </c>
      <c r="Q3" s="76">
        <v>2421</v>
      </c>
      <c r="R3" s="71">
        <v>25.5</v>
      </c>
      <c r="S3" s="71">
        <v>326</v>
      </c>
      <c r="T3" s="71">
        <v>3.4</v>
      </c>
      <c r="U3" s="71">
        <v>689</v>
      </c>
      <c r="V3" s="71">
        <v>7.3</v>
      </c>
      <c r="W3" s="76">
        <v>97632</v>
      </c>
      <c r="X3" s="71">
        <v>99.2</v>
      </c>
    </row>
    <row r="4" spans="1:24" x14ac:dyDescent="0.3">
      <c r="A4" s="71" t="s">
        <v>19</v>
      </c>
      <c r="B4" s="76">
        <v>91</v>
      </c>
      <c r="C4" s="71">
        <v>0</v>
      </c>
      <c r="D4" s="71">
        <v>0</v>
      </c>
      <c r="E4" s="71">
        <v>2</v>
      </c>
      <c r="F4" s="71">
        <v>2.2000000000000002</v>
      </c>
      <c r="G4" s="76">
        <v>2</v>
      </c>
      <c r="H4" s="71">
        <v>2.2000000000000002</v>
      </c>
      <c r="I4" s="76">
        <v>42</v>
      </c>
      <c r="J4" s="71">
        <v>46.2</v>
      </c>
      <c r="K4" s="76">
        <v>44</v>
      </c>
      <c r="L4" s="71">
        <v>48.4</v>
      </c>
      <c r="M4" s="71">
        <v>0</v>
      </c>
      <c r="N4" s="71">
        <v>0</v>
      </c>
      <c r="O4" s="71">
        <v>1</v>
      </c>
      <c r="P4" s="71">
        <v>1.1000000000000001</v>
      </c>
      <c r="Q4" s="76">
        <v>17</v>
      </c>
      <c r="R4" s="71">
        <v>18.7</v>
      </c>
      <c r="S4" s="71">
        <v>2</v>
      </c>
      <c r="T4" s="71">
        <v>2.2000000000000002</v>
      </c>
      <c r="U4" s="71">
        <v>0</v>
      </c>
      <c r="V4" s="71">
        <v>0</v>
      </c>
      <c r="W4" s="76">
        <v>1390</v>
      </c>
      <c r="X4" s="71">
        <v>94</v>
      </c>
    </row>
    <row r="5" spans="1:24" x14ac:dyDescent="0.3">
      <c r="A5" s="71" t="s">
        <v>20</v>
      </c>
      <c r="B5" s="76">
        <v>17</v>
      </c>
      <c r="C5" s="71">
        <v>6</v>
      </c>
      <c r="D5" s="71">
        <v>35.299999999999997</v>
      </c>
      <c r="E5" s="71">
        <v>9</v>
      </c>
      <c r="F5" s="71">
        <v>52.9</v>
      </c>
      <c r="G5" s="76">
        <v>0</v>
      </c>
      <c r="H5" s="71">
        <v>0</v>
      </c>
      <c r="I5" s="76">
        <v>0</v>
      </c>
      <c r="J5" s="71">
        <v>0</v>
      </c>
      <c r="K5" s="76">
        <v>0</v>
      </c>
      <c r="L5" s="71">
        <v>0</v>
      </c>
      <c r="M5" s="71">
        <v>2</v>
      </c>
      <c r="N5" s="71">
        <v>11.8</v>
      </c>
      <c r="O5" s="71">
        <v>0</v>
      </c>
      <c r="P5" s="71">
        <v>0</v>
      </c>
      <c r="Q5" s="76">
        <v>1</v>
      </c>
      <c r="R5" s="71">
        <v>5.9</v>
      </c>
      <c r="S5" s="71">
        <v>1</v>
      </c>
      <c r="T5" s="71">
        <v>5.9</v>
      </c>
      <c r="U5" s="71">
        <v>5</v>
      </c>
      <c r="V5" s="71">
        <v>29.4</v>
      </c>
      <c r="W5" s="76">
        <v>506</v>
      </c>
      <c r="X5" s="71">
        <v>100</v>
      </c>
    </row>
    <row r="6" spans="1:24" x14ac:dyDescent="0.3">
      <c r="A6" s="71" t="s">
        <v>21</v>
      </c>
      <c r="B6" s="76">
        <v>277</v>
      </c>
      <c r="C6" s="71">
        <v>15</v>
      </c>
      <c r="D6" s="71">
        <v>5.4</v>
      </c>
      <c r="E6" s="71">
        <v>1</v>
      </c>
      <c r="F6" s="71">
        <v>0.4</v>
      </c>
      <c r="G6" s="76">
        <v>97</v>
      </c>
      <c r="H6" s="71">
        <v>35</v>
      </c>
      <c r="I6" s="76">
        <v>41</v>
      </c>
      <c r="J6" s="71">
        <v>14.8</v>
      </c>
      <c r="K6" s="76">
        <v>116</v>
      </c>
      <c r="L6" s="71">
        <v>41.9</v>
      </c>
      <c r="M6" s="71">
        <v>1</v>
      </c>
      <c r="N6" s="71">
        <v>0.4</v>
      </c>
      <c r="O6" s="71">
        <v>6</v>
      </c>
      <c r="P6" s="71">
        <v>2.2000000000000002</v>
      </c>
      <c r="Q6" s="76">
        <v>50</v>
      </c>
      <c r="R6" s="71">
        <v>18.100000000000001</v>
      </c>
      <c r="S6" s="71">
        <v>9</v>
      </c>
      <c r="T6" s="71">
        <v>3.2</v>
      </c>
      <c r="U6" s="71">
        <v>11</v>
      </c>
      <c r="V6" s="71">
        <v>4</v>
      </c>
      <c r="W6" s="76">
        <v>2000</v>
      </c>
      <c r="X6" s="71">
        <v>100</v>
      </c>
    </row>
    <row r="7" spans="1:24" x14ac:dyDescent="0.3">
      <c r="A7" s="71" t="s">
        <v>22</v>
      </c>
      <c r="B7" s="76">
        <v>79</v>
      </c>
      <c r="C7" s="71">
        <v>0</v>
      </c>
      <c r="D7" s="71">
        <v>0</v>
      </c>
      <c r="E7" s="71">
        <v>0</v>
      </c>
      <c r="F7" s="71">
        <v>0</v>
      </c>
      <c r="G7" s="76">
        <v>6</v>
      </c>
      <c r="H7" s="71">
        <v>7.6</v>
      </c>
      <c r="I7" s="76">
        <v>23</v>
      </c>
      <c r="J7" s="71">
        <v>29.1</v>
      </c>
      <c r="K7" s="76">
        <v>48</v>
      </c>
      <c r="L7" s="71">
        <v>60.8</v>
      </c>
      <c r="M7" s="71">
        <v>0</v>
      </c>
      <c r="N7" s="71">
        <v>0</v>
      </c>
      <c r="O7" s="71">
        <v>2</v>
      </c>
      <c r="P7" s="71">
        <v>2.5</v>
      </c>
      <c r="Q7" s="76">
        <v>23</v>
      </c>
      <c r="R7" s="71">
        <v>29.1</v>
      </c>
      <c r="S7" s="71">
        <v>3</v>
      </c>
      <c r="T7" s="71">
        <v>3.8</v>
      </c>
      <c r="U7" s="71">
        <v>4</v>
      </c>
      <c r="V7" s="71">
        <v>5.0999999999999996</v>
      </c>
      <c r="W7" s="76">
        <v>1088</v>
      </c>
      <c r="X7" s="71">
        <v>100</v>
      </c>
    </row>
    <row r="8" spans="1:24" x14ac:dyDescent="0.3">
      <c r="A8" s="71" t="s">
        <v>23</v>
      </c>
      <c r="B8" s="76">
        <v>1009</v>
      </c>
      <c r="C8" s="71">
        <v>13</v>
      </c>
      <c r="D8" s="71">
        <v>1.3</v>
      </c>
      <c r="E8" s="71">
        <v>33</v>
      </c>
      <c r="F8" s="71">
        <v>3.3</v>
      </c>
      <c r="G8" s="76">
        <v>519</v>
      </c>
      <c r="H8" s="71">
        <v>51.4</v>
      </c>
      <c r="I8" s="76">
        <v>142</v>
      </c>
      <c r="J8" s="71">
        <v>14.1</v>
      </c>
      <c r="K8" s="76">
        <v>253</v>
      </c>
      <c r="L8" s="71">
        <v>25.1</v>
      </c>
      <c r="M8" s="71">
        <v>8</v>
      </c>
      <c r="N8" s="71">
        <v>0.8</v>
      </c>
      <c r="O8" s="71">
        <v>41</v>
      </c>
      <c r="P8" s="71">
        <v>4.0999999999999996</v>
      </c>
      <c r="Q8" s="76">
        <v>200</v>
      </c>
      <c r="R8" s="71">
        <v>19.8</v>
      </c>
      <c r="S8" s="71">
        <v>24</v>
      </c>
      <c r="T8" s="71">
        <v>2.4</v>
      </c>
      <c r="U8" s="71">
        <v>173</v>
      </c>
      <c r="V8" s="71">
        <v>17.100000000000001</v>
      </c>
      <c r="W8" s="76">
        <v>10121</v>
      </c>
      <c r="X8" s="71">
        <v>99.2</v>
      </c>
    </row>
    <row r="9" spans="1:24" x14ac:dyDescent="0.3">
      <c r="A9" s="71" t="s">
        <v>24</v>
      </c>
      <c r="B9" s="76">
        <v>47</v>
      </c>
      <c r="C9" s="71">
        <v>0</v>
      </c>
      <c r="D9" s="71">
        <v>0</v>
      </c>
      <c r="E9" s="71">
        <v>0</v>
      </c>
      <c r="F9" s="71">
        <v>0</v>
      </c>
      <c r="G9" s="76">
        <v>12</v>
      </c>
      <c r="H9" s="71">
        <v>25.5</v>
      </c>
      <c r="I9" s="76">
        <v>1</v>
      </c>
      <c r="J9" s="71">
        <v>2.1</v>
      </c>
      <c r="K9" s="76">
        <v>33</v>
      </c>
      <c r="L9" s="71">
        <v>70.2</v>
      </c>
      <c r="M9" s="71">
        <v>0</v>
      </c>
      <c r="N9" s="71">
        <v>0</v>
      </c>
      <c r="O9" s="71">
        <v>1</v>
      </c>
      <c r="P9" s="71">
        <v>2.1</v>
      </c>
      <c r="Q9" s="76">
        <v>8</v>
      </c>
      <c r="R9" s="71">
        <v>17</v>
      </c>
      <c r="S9" s="71">
        <v>2</v>
      </c>
      <c r="T9" s="71">
        <v>4.3</v>
      </c>
      <c r="U9" s="71">
        <v>3</v>
      </c>
      <c r="V9" s="71">
        <v>6.4</v>
      </c>
      <c r="W9" s="76">
        <v>1908</v>
      </c>
      <c r="X9" s="71">
        <v>100</v>
      </c>
    </row>
    <row r="10" spans="1:24" x14ac:dyDescent="0.3">
      <c r="A10" s="71" t="s">
        <v>25</v>
      </c>
      <c r="B10" s="76">
        <v>71</v>
      </c>
      <c r="C10" s="71">
        <v>0</v>
      </c>
      <c r="D10" s="71">
        <v>0</v>
      </c>
      <c r="E10" s="71">
        <v>2</v>
      </c>
      <c r="F10" s="71">
        <v>2.8</v>
      </c>
      <c r="G10" s="76">
        <v>20</v>
      </c>
      <c r="H10" s="71">
        <v>28.2</v>
      </c>
      <c r="I10" s="76">
        <v>6</v>
      </c>
      <c r="J10" s="71">
        <v>8.5</v>
      </c>
      <c r="K10" s="76">
        <v>42</v>
      </c>
      <c r="L10" s="71">
        <v>59.2</v>
      </c>
      <c r="M10" s="71">
        <v>0</v>
      </c>
      <c r="N10" s="71">
        <v>0</v>
      </c>
      <c r="O10" s="71">
        <v>1</v>
      </c>
      <c r="P10" s="71">
        <v>1.4</v>
      </c>
      <c r="Q10" s="76">
        <v>24</v>
      </c>
      <c r="R10" s="71">
        <v>33.799999999999997</v>
      </c>
      <c r="S10" s="71">
        <v>7</v>
      </c>
      <c r="T10" s="71">
        <v>9.9</v>
      </c>
      <c r="U10" s="71">
        <v>1</v>
      </c>
      <c r="V10" s="71">
        <v>1.4</v>
      </c>
      <c r="W10" s="76">
        <v>1214</v>
      </c>
      <c r="X10" s="71">
        <v>100</v>
      </c>
    </row>
    <row r="11" spans="1:24" x14ac:dyDescent="0.3">
      <c r="A11" s="71" t="s">
        <v>26</v>
      </c>
      <c r="B11" s="76">
        <v>6</v>
      </c>
      <c r="C11" s="71">
        <v>0</v>
      </c>
      <c r="D11" s="71">
        <v>0</v>
      </c>
      <c r="E11" s="71">
        <v>0</v>
      </c>
      <c r="F11" s="71">
        <v>0</v>
      </c>
      <c r="G11" s="76">
        <v>0</v>
      </c>
      <c r="H11" s="71">
        <v>0</v>
      </c>
      <c r="I11" s="76">
        <v>1</v>
      </c>
      <c r="J11" s="71">
        <v>16.7</v>
      </c>
      <c r="K11" s="76">
        <v>5</v>
      </c>
      <c r="L11" s="71">
        <v>83.3</v>
      </c>
      <c r="M11" s="71">
        <v>0</v>
      </c>
      <c r="N11" s="71">
        <v>0</v>
      </c>
      <c r="O11" s="71">
        <v>0</v>
      </c>
      <c r="P11" s="71">
        <v>0</v>
      </c>
      <c r="Q11" s="76">
        <v>2</v>
      </c>
      <c r="R11" s="71">
        <v>33.299999999999997</v>
      </c>
      <c r="S11" s="71">
        <v>0</v>
      </c>
      <c r="T11" s="71">
        <v>0</v>
      </c>
      <c r="U11" s="71">
        <v>0</v>
      </c>
      <c r="V11" s="71">
        <v>0</v>
      </c>
      <c r="W11" s="76">
        <v>231</v>
      </c>
      <c r="X11" s="71">
        <v>100</v>
      </c>
    </row>
    <row r="12" spans="1:24" x14ac:dyDescent="0.3">
      <c r="A12" s="71" t="s">
        <v>27</v>
      </c>
      <c r="B12" s="76">
        <v>5</v>
      </c>
      <c r="C12" s="71">
        <v>0</v>
      </c>
      <c r="D12" s="71">
        <v>0</v>
      </c>
      <c r="E12" s="71">
        <v>0</v>
      </c>
      <c r="F12" s="71">
        <v>0</v>
      </c>
      <c r="G12" s="76">
        <v>1</v>
      </c>
      <c r="H12" s="71">
        <v>20</v>
      </c>
      <c r="I12" s="76">
        <v>3</v>
      </c>
      <c r="J12" s="71">
        <v>60</v>
      </c>
      <c r="K12" s="76">
        <v>1</v>
      </c>
      <c r="L12" s="71">
        <v>20</v>
      </c>
      <c r="M12" s="71">
        <v>0</v>
      </c>
      <c r="N12" s="71">
        <v>0</v>
      </c>
      <c r="O12" s="71">
        <v>0</v>
      </c>
      <c r="P12" s="71">
        <v>0</v>
      </c>
      <c r="Q12" s="76">
        <v>0</v>
      </c>
      <c r="R12" s="71">
        <v>0</v>
      </c>
      <c r="S12" s="71">
        <v>0</v>
      </c>
      <c r="T12" s="71">
        <v>0</v>
      </c>
      <c r="U12" s="71">
        <v>1</v>
      </c>
      <c r="V12" s="71">
        <v>20</v>
      </c>
      <c r="W12" s="76">
        <v>228</v>
      </c>
      <c r="X12" s="71">
        <v>99.6</v>
      </c>
    </row>
    <row r="13" spans="1:24" x14ac:dyDescent="0.3">
      <c r="A13" s="71" t="s">
        <v>28</v>
      </c>
      <c r="B13" s="76">
        <v>162</v>
      </c>
      <c r="C13" s="71">
        <v>0</v>
      </c>
      <c r="D13" s="71">
        <v>0</v>
      </c>
      <c r="E13" s="71">
        <v>1</v>
      </c>
      <c r="F13" s="71">
        <v>0.6</v>
      </c>
      <c r="G13" s="76">
        <v>40</v>
      </c>
      <c r="H13" s="71">
        <v>24.7</v>
      </c>
      <c r="I13" s="76">
        <v>53</v>
      </c>
      <c r="J13" s="71">
        <v>32.700000000000003</v>
      </c>
      <c r="K13" s="76">
        <v>61</v>
      </c>
      <c r="L13" s="71">
        <v>37.700000000000003</v>
      </c>
      <c r="M13" s="71">
        <v>0</v>
      </c>
      <c r="N13" s="71">
        <v>0</v>
      </c>
      <c r="O13" s="71">
        <v>7</v>
      </c>
      <c r="P13" s="71">
        <v>4.3</v>
      </c>
      <c r="Q13" s="76">
        <v>59</v>
      </c>
      <c r="R13" s="71">
        <v>36.4</v>
      </c>
      <c r="S13" s="71">
        <v>17</v>
      </c>
      <c r="T13" s="71">
        <v>10.5</v>
      </c>
      <c r="U13" s="71">
        <v>6</v>
      </c>
      <c r="V13" s="71">
        <v>3.7</v>
      </c>
      <c r="W13" s="76">
        <v>3976</v>
      </c>
      <c r="X13" s="71">
        <v>100</v>
      </c>
    </row>
    <row r="14" spans="1:24" x14ac:dyDescent="0.3">
      <c r="A14" s="71" t="s">
        <v>29</v>
      </c>
      <c r="B14" s="76">
        <v>113</v>
      </c>
      <c r="C14" s="71">
        <v>0</v>
      </c>
      <c r="D14" s="71">
        <v>0</v>
      </c>
      <c r="E14" s="71">
        <v>0</v>
      </c>
      <c r="F14" s="71">
        <v>0</v>
      </c>
      <c r="G14" s="76">
        <v>11</v>
      </c>
      <c r="H14" s="71">
        <v>9.6999999999999993</v>
      </c>
      <c r="I14" s="76">
        <v>60</v>
      </c>
      <c r="J14" s="71">
        <v>53.1</v>
      </c>
      <c r="K14" s="76">
        <v>37</v>
      </c>
      <c r="L14" s="71">
        <v>32.700000000000003</v>
      </c>
      <c r="M14" s="71">
        <v>0</v>
      </c>
      <c r="N14" s="71">
        <v>0</v>
      </c>
      <c r="O14" s="71">
        <v>5</v>
      </c>
      <c r="P14" s="71">
        <v>4.4000000000000004</v>
      </c>
      <c r="Q14" s="76">
        <v>33</v>
      </c>
      <c r="R14" s="71">
        <v>29.2</v>
      </c>
      <c r="S14" s="71">
        <v>4</v>
      </c>
      <c r="T14" s="71">
        <v>3.5</v>
      </c>
      <c r="U14" s="71">
        <v>2</v>
      </c>
      <c r="V14" s="71">
        <v>1.8</v>
      </c>
      <c r="W14" s="76">
        <v>2416</v>
      </c>
      <c r="X14" s="71">
        <v>100</v>
      </c>
    </row>
    <row r="15" spans="1:24" x14ac:dyDescent="0.3">
      <c r="A15" s="71" t="s">
        <v>30</v>
      </c>
      <c r="B15" s="76">
        <v>28</v>
      </c>
      <c r="C15" s="71">
        <v>0</v>
      </c>
      <c r="D15" s="71">
        <v>0</v>
      </c>
      <c r="E15" s="71">
        <v>5</v>
      </c>
      <c r="F15" s="71">
        <v>17.899999999999999</v>
      </c>
      <c r="G15" s="76">
        <v>3</v>
      </c>
      <c r="H15" s="71">
        <v>10.7</v>
      </c>
      <c r="I15" s="76">
        <v>0</v>
      </c>
      <c r="J15" s="71">
        <v>0</v>
      </c>
      <c r="K15" s="76">
        <v>1</v>
      </c>
      <c r="L15" s="71">
        <v>3.6</v>
      </c>
      <c r="M15" s="71">
        <v>15</v>
      </c>
      <c r="N15" s="71">
        <v>53.6</v>
      </c>
      <c r="O15" s="71">
        <v>4</v>
      </c>
      <c r="P15" s="71">
        <v>14.3</v>
      </c>
      <c r="Q15" s="76">
        <v>20</v>
      </c>
      <c r="R15" s="71">
        <v>71.400000000000006</v>
      </c>
      <c r="S15" s="71">
        <v>20</v>
      </c>
      <c r="T15" s="71">
        <v>71.400000000000006</v>
      </c>
      <c r="U15" s="71">
        <v>20</v>
      </c>
      <c r="V15" s="71">
        <v>71.400000000000006</v>
      </c>
      <c r="W15" s="76">
        <v>292</v>
      </c>
      <c r="X15" s="71">
        <v>100</v>
      </c>
    </row>
    <row r="16" spans="1:24" x14ac:dyDescent="0.3">
      <c r="A16" s="71" t="s">
        <v>31</v>
      </c>
      <c r="B16" s="76">
        <v>77</v>
      </c>
      <c r="C16" s="71">
        <v>7</v>
      </c>
      <c r="D16" s="71">
        <v>9.1</v>
      </c>
      <c r="E16" s="71">
        <v>0</v>
      </c>
      <c r="F16" s="71">
        <v>0</v>
      </c>
      <c r="G16" s="76">
        <v>20</v>
      </c>
      <c r="H16" s="71">
        <v>26</v>
      </c>
      <c r="I16" s="76">
        <v>0</v>
      </c>
      <c r="J16" s="71">
        <v>0</v>
      </c>
      <c r="K16" s="76">
        <v>50</v>
      </c>
      <c r="L16" s="71">
        <v>64.900000000000006</v>
      </c>
      <c r="M16" s="71">
        <v>0</v>
      </c>
      <c r="N16" s="71">
        <v>0</v>
      </c>
      <c r="O16" s="71">
        <v>0</v>
      </c>
      <c r="P16" s="71">
        <v>0</v>
      </c>
      <c r="Q16" s="76">
        <v>12</v>
      </c>
      <c r="R16" s="71">
        <v>15.6</v>
      </c>
      <c r="S16" s="71">
        <v>2</v>
      </c>
      <c r="T16" s="71">
        <v>2.6</v>
      </c>
      <c r="U16" s="71">
        <v>2</v>
      </c>
      <c r="V16" s="71">
        <v>2.6</v>
      </c>
      <c r="W16" s="76">
        <v>725</v>
      </c>
      <c r="X16" s="71">
        <v>100</v>
      </c>
    </row>
    <row r="17" spans="1:24" x14ac:dyDescent="0.3">
      <c r="A17" s="71" t="s">
        <v>32</v>
      </c>
      <c r="B17" s="76">
        <v>551</v>
      </c>
      <c r="C17" s="71">
        <v>0</v>
      </c>
      <c r="D17" s="71">
        <v>0</v>
      </c>
      <c r="E17" s="71">
        <v>11</v>
      </c>
      <c r="F17" s="71">
        <v>2</v>
      </c>
      <c r="G17" s="76">
        <v>97</v>
      </c>
      <c r="H17" s="71">
        <v>17.600000000000001</v>
      </c>
      <c r="I17" s="76">
        <v>156</v>
      </c>
      <c r="J17" s="71">
        <v>28.3</v>
      </c>
      <c r="K17" s="76">
        <v>259</v>
      </c>
      <c r="L17" s="71">
        <v>47</v>
      </c>
      <c r="M17" s="71">
        <v>0</v>
      </c>
      <c r="N17" s="71">
        <v>0</v>
      </c>
      <c r="O17" s="71">
        <v>28</v>
      </c>
      <c r="P17" s="71">
        <v>5.0999999999999996</v>
      </c>
      <c r="Q17" s="76">
        <v>114</v>
      </c>
      <c r="R17" s="71">
        <v>20.7</v>
      </c>
      <c r="S17" s="71">
        <v>14</v>
      </c>
      <c r="T17" s="71">
        <v>2.5</v>
      </c>
      <c r="U17" s="71">
        <v>43</v>
      </c>
      <c r="V17" s="71">
        <v>7.8</v>
      </c>
      <c r="W17" s="76">
        <v>4145</v>
      </c>
      <c r="X17" s="71">
        <v>87.2</v>
      </c>
    </row>
    <row r="18" spans="1:24" x14ac:dyDescent="0.3">
      <c r="A18" s="71" t="s">
        <v>33</v>
      </c>
      <c r="B18" s="76">
        <v>188</v>
      </c>
      <c r="C18" s="71">
        <v>0</v>
      </c>
      <c r="D18" s="71">
        <v>0</v>
      </c>
      <c r="E18" s="71">
        <v>0</v>
      </c>
      <c r="F18" s="71">
        <v>0</v>
      </c>
      <c r="G18" s="76">
        <v>29</v>
      </c>
      <c r="H18" s="71">
        <v>15.4</v>
      </c>
      <c r="I18" s="76">
        <v>63</v>
      </c>
      <c r="J18" s="71">
        <v>33.5</v>
      </c>
      <c r="K18" s="76">
        <v>89</v>
      </c>
      <c r="L18" s="71">
        <v>47.3</v>
      </c>
      <c r="M18" s="71">
        <v>0</v>
      </c>
      <c r="N18" s="71">
        <v>0</v>
      </c>
      <c r="O18" s="71">
        <v>7</v>
      </c>
      <c r="P18" s="71">
        <v>3.7</v>
      </c>
      <c r="Q18" s="76">
        <v>26</v>
      </c>
      <c r="R18" s="71">
        <v>13.8</v>
      </c>
      <c r="S18" s="71">
        <v>2</v>
      </c>
      <c r="T18" s="71">
        <v>1.1000000000000001</v>
      </c>
      <c r="U18" s="71">
        <v>8</v>
      </c>
      <c r="V18" s="71">
        <v>4.3</v>
      </c>
      <c r="W18" s="76">
        <v>1886</v>
      </c>
      <c r="X18" s="71">
        <v>100</v>
      </c>
    </row>
    <row r="19" spans="1:24" x14ac:dyDescent="0.3">
      <c r="A19" s="71" t="s">
        <v>34</v>
      </c>
      <c r="B19" s="76">
        <v>95</v>
      </c>
      <c r="C19" s="71">
        <v>0</v>
      </c>
      <c r="D19" s="71">
        <v>0</v>
      </c>
      <c r="E19" s="71">
        <v>1</v>
      </c>
      <c r="F19" s="71">
        <v>1.1000000000000001</v>
      </c>
      <c r="G19" s="76">
        <v>8</v>
      </c>
      <c r="H19" s="71">
        <v>8.4</v>
      </c>
      <c r="I19" s="76">
        <v>7</v>
      </c>
      <c r="J19" s="71">
        <v>7.4</v>
      </c>
      <c r="K19" s="76">
        <v>77</v>
      </c>
      <c r="L19" s="71">
        <v>81.099999999999994</v>
      </c>
      <c r="M19" s="71">
        <v>1</v>
      </c>
      <c r="N19" s="71">
        <v>1.1000000000000001</v>
      </c>
      <c r="O19" s="71">
        <v>1</v>
      </c>
      <c r="P19" s="71">
        <v>1.1000000000000001</v>
      </c>
      <c r="Q19" s="76">
        <v>27</v>
      </c>
      <c r="R19" s="71">
        <v>28.4</v>
      </c>
      <c r="S19" s="71">
        <v>2</v>
      </c>
      <c r="T19" s="71">
        <v>2.1</v>
      </c>
      <c r="U19" s="71">
        <v>6</v>
      </c>
      <c r="V19" s="71">
        <v>6.3</v>
      </c>
      <c r="W19" s="76">
        <v>1343</v>
      </c>
      <c r="X19" s="71">
        <v>100</v>
      </c>
    </row>
    <row r="20" spans="1:24" x14ac:dyDescent="0.3">
      <c r="A20" s="71" t="s">
        <v>35</v>
      </c>
      <c r="B20" s="76">
        <v>102</v>
      </c>
      <c r="C20" s="71">
        <v>1</v>
      </c>
      <c r="D20" s="71">
        <v>1</v>
      </c>
      <c r="E20" s="71">
        <v>1</v>
      </c>
      <c r="F20" s="71">
        <v>1</v>
      </c>
      <c r="G20" s="76">
        <v>11</v>
      </c>
      <c r="H20" s="71">
        <v>10.8</v>
      </c>
      <c r="I20" s="76">
        <v>4</v>
      </c>
      <c r="J20" s="71">
        <v>3.9</v>
      </c>
      <c r="K20" s="76">
        <v>80</v>
      </c>
      <c r="L20" s="71">
        <v>78.400000000000006</v>
      </c>
      <c r="M20" s="71">
        <v>0</v>
      </c>
      <c r="N20" s="71">
        <v>0</v>
      </c>
      <c r="O20" s="71">
        <v>5</v>
      </c>
      <c r="P20" s="71">
        <v>4.9000000000000004</v>
      </c>
      <c r="Q20" s="76">
        <v>28</v>
      </c>
      <c r="R20" s="71">
        <v>27.5</v>
      </c>
      <c r="S20" s="71">
        <v>1</v>
      </c>
      <c r="T20" s="71">
        <v>1</v>
      </c>
      <c r="U20" s="71">
        <v>3</v>
      </c>
      <c r="V20" s="71">
        <v>2.9</v>
      </c>
      <c r="W20" s="76">
        <v>1350</v>
      </c>
      <c r="X20" s="71">
        <v>100</v>
      </c>
    </row>
    <row r="21" spans="1:24" x14ac:dyDescent="0.3">
      <c r="A21" s="71" t="s">
        <v>36</v>
      </c>
      <c r="B21" s="76">
        <v>110</v>
      </c>
      <c r="C21" s="71">
        <v>0</v>
      </c>
      <c r="D21" s="71">
        <v>0</v>
      </c>
      <c r="E21" s="71">
        <v>1</v>
      </c>
      <c r="F21" s="71">
        <v>0.9</v>
      </c>
      <c r="G21" s="76">
        <v>5</v>
      </c>
      <c r="H21" s="71">
        <v>4.5</v>
      </c>
      <c r="I21" s="76">
        <v>32</v>
      </c>
      <c r="J21" s="71">
        <v>29.1</v>
      </c>
      <c r="K21" s="76">
        <v>61</v>
      </c>
      <c r="L21" s="71">
        <v>55.5</v>
      </c>
      <c r="M21" s="71">
        <v>0</v>
      </c>
      <c r="N21" s="71">
        <v>0</v>
      </c>
      <c r="O21" s="71">
        <v>11</v>
      </c>
      <c r="P21" s="71">
        <v>10</v>
      </c>
      <c r="Q21" s="76">
        <v>17</v>
      </c>
      <c r="R21" s="71">
        <v>15.5</v>
      </c>
      <c r="S21" s="71">
        <v>4</v>
      </c>
      <c r="T21" s="71">
        <v>3.6</v>
      </c>
      <c r="U21" s="71">
        <v>3</v>
      </c>
      <c r="V21" s="71">
        <v>2.7</v>
      </c>
      <c r="W21" s="76">
        <v>1401</v>
      </c>
      <c r="X21" s="71">
        <v>100</v>
      </c>
    </row>
    <row r="22" spans="1:24" x14ac:dyDescent="0.3">
      <c r="A22" s="71" t="s">
        <v>37</v>
      </c>
      <c r="B22" s="76">
        <v>24</v>
      </c>
      <c r="C22" s="71">
        <v>1</v>
      </c>
      <c r="D22" s="71">
        <v>4.2</v>
      </c>
      <c r="E22" s="71">
        <v>0</v>
      </c>
      <c r="F22" s="71">
        <v>0</v>
      </c>
      <c r="G22" s="76">
        <v>1</v>
      </c>
      <c r="H22" s="71">
        <v>4.2</v>
      </c>
      <c r="I22" s="76">
        <v>14</v>
      </c>
      <c r="J22" s="71">
        <v>58.3</v>
      </c>
      <c r="K22" s="76">
        <v>7</v>
      </c>
      <c r="L22" s="71">
        <v>29.2</v>
      </c>
      <c r="M22" s="71">
        <v>0</v>
      </c>
      <c r="N22" s="71">
        <v>0</v>
      </c>
      <c r="O22" s="71">
        <v>1</v>
      </c>
      <c r="P22" s="71">
        <v>4.2</v>
      </c>
      <c r="Q22" s="76">
        <v>7</v>
      </c>
      <c r="R22" s="71">
        <v>29.2</v>
      </c>
      <c r="S22" s="71">
        <v>5</v>
      </c>
      <c r="T22" s="71">
        <v>20.8</v>
      </c>
      <c r="U22" s="71">
        <v>0</v>
      </c>
      <c r="V22" s="71">
        <v>0</v>
      </c>
      <c r="W22" s="76">
        <v>1365</v>
      </c>
      <c r="X22" s="71">
        <v>100</v>
      </c>
    </row>
    <row r="23" spans="1:24" x14ac:dyDescent="0.3">
      <c r="A23" s="71" t="s">
        <v>38</v>
      </c>
      <c r="B23" s="76">
        <v>44</v>
      </c>
      <c r="C23" s="71">
        <v>0</v>
      </c>
      <c r="D23" s="71">
        <v>0</v>
      </c>
      <c r="E23" s="71">
        <v>0</v>
      </c>
      <c r="F23" s="71">
        <v>0</v>
      </c>
      <c r="G23" s="76">
        <v>1</v>
      </c>
      <c r="H23" s="71">
        <v>2.2999999999999998</v>
      </c>
      <c r="I23" s="76">
        <v>2</v>
      </c>
      <c r="J23" s="71">
        <v>4.5</v>
      </c>
      <c r="K23" s="76">
        <v>39</v>
      </c>
      <c r="L23" s="71">
        <v>88.6</v>
      </c>
      <c r="M23" s="71">
        <v>0</v>
      </c>
      <c r="N23" s="71">
        <v>0</v>
      </c>
      <c r="O23" s="71">
        <v>2</v>
      </c>
      <c r="P23" s="71">
        <v>4.5</v>
      </c>
      <c r="Q23" s="76">
        <v>13</v>
      </c>
      <c r="R23" s="71">
        <v>29.5</v>
      </c>
      <c r="S23" s="71">
        <v>0</v>
      </c>
      <c r="T23" s="71">
        <v>0</v>
      </c>
      <c r="U23" s="71">
        <v>0</v>
      </c>
      <c r="V23" s="71">
        <v>0</v>
      </c>
      <c r="W23" s="76">
        <v>579</v>
      </c>
      <c r="X23" s="71">
        <v>100</v>
      </c>
    </row>
    <row r="24" spans="1:24" x14ac:dyDescent="0.3">
      <c r="A24" s="71" t="s">
        <v>39</v>
      </c>
      <c r="B24" s="76">
        <v>75</v>
      </c>
      <c r="C24" s="71">
        <v>0</v>
      </c>
      <c r="D24" s="71">
        <v>0</v>
      </c>
      <c r="E24" s="71">
        <v>1</v>
      </c>
      <c r="F24" s="71">
        <v>1.3</v>
      </c>
      <c r="G24" s="76">
        <v>5</v>
      </c>
      <c r="H24" s="71">
        <v>6.7</v>
      </c>
      <c r="I24" s="76">
        <v>26</v>
      </c>
      <c r="J24" s="71">
        <v>34.700000000000003</v>
      </c>
      <c r="K24" s="76">
        <v>39</v>
      </c>
      <c r="L24" s="71">
        <v>52</v>
      </c>
      <c r="M24" s="71">
        <v>0</v>
      </c>
      <c r="N24" s="71">
        <v>0</v>
      </c>
      <c r="O24" s="71">
        <v>4</v>
      </c>
      <c r="P24" s="71">
        <v>5.3</v>
      </c>
      <c r="Q24" s="76">
        <v>13</v>
      </c>
      <c r="R24" s="71">
        <v>17.3</v>
      </c>
      <c r="S24" s="71">
        <v>3</v>
      </c>
      <c r="T24" s="71">
        <v>4</v>
      </c>
      <c r="U24" s="71">
        <v>3</v>
      </c>
      <c r="V24" s="71">
        <v>4</v>
      </c>
      <c r="W24" s="76">
        <v>1414</v>
      </c>
      <c r="X24" s="71">
        <v>100</v>
      </c>
    </row>
    <row r="25" spans="1:24" x14ac:dyDescent="0.3">
      <c r="A25" s="71" t="s">
        <v>40</v>
      </c>
      <c r="B25" s="76">
        <v>124</v>
      </c>
      <c r="C25" s="71">
        <v>2</v>
      </c>
      <c r="D25" s="71">
        <v>1.6</v>
      </c>
      <c r="E25" s="71">
        <v>2</v>
      </c>
      <c r="F25" s="71">
        <v>1.6</v>
      </c>
      <c r="G25" s="76">
        <v>26</v>
      </c>
      <c r="H25" s="71">
        <v>21</v>
      </c>
      <c r="I25" s="76">
        <v>19</v>
      </c>
      <c r="J25" s="71">
        <v>15.3</v>
      </c>
      <c r="K25" s="76">
        <v>71</v>
      </c>
      <c r="L25" s="71">
        <v>57.3</v>
      </c>
      <c r="M25" s="71">
        <v>0</v>
      </c>
      <c r="N25" s="71">
        <v>0</v>
      </c>
      <c r="O25" s="71">
        <v>4</v>
      </c>
      <c r="P25" s="71">
        <v>3.2</v>
      </c>
      <c r="Q25" s="76">
        <v>41</v>
      </c>
      <c r="R25" s="71">
        <v>33.1</v>
      </c>
      <c r="S25" s="71">
        <v>7</v>
      </c>
      <c r="T25" s="71">
        <v>5.6</v>
      </c>
      <c r="U25" s="71">
        <v>16</v>
      </c>
      <c r="V25" s="71">
        <v>12.9</v>
      </c>
      <c r="W25" s="76">
        <v>1870</v>
      </c>
      <c r="X25" s="71">
        <v>99</v>
      </c>
    </row>
    <row r="26" spans="1:24" x14ac:dyDescent="0.3">
      <c r="A26" s="71" t="s">
        <v>41</v>
      </c>
      <c r="B26" s="76">
        <v>442</v>
      </c>
      <c r="C26" s="71">
        <v>3</v>
      </c>
      <c r="D26" s="71">
        <v>0.7</v>
      </c>
      <c r="E26" s="71">
        <v>5</v>
      </c>
      <c r="F26" s="71">
        <v>1.1000000000000001</v>
      </c>
      <c r="G26" s="76">
        <v>26</v>
      </c>
      <c r="H26" s="71">
        <v>5.9</v>
      </c>
      <c r="I26" s="76">
        <v>67</v>
      </c>
      <c r="J26" s="71">
        <v>15.2</v>
      </c>
      <c r="K26" s="76">
        <v>322</v>
      </c>
      <c r="L26" s="71">
        <v>72.900000000000006</v>
      </c>
      <c r="M26" s="71">
        <v>0</v>
      </c>
      <c r="N26" s="71">
        <v>0</v>
      </c>
      <c r="O26" s="71">
        <v>19</v>
      </c>
      <c r="P26" s="71">
        <v>4.3</v>
      </c>
      <c r="Q26" s="76">
        <v>97</v>
      </c>
      <c r="R26" s="71">
        <v>21.9</v>
      </c>
      <c r="S26" s="71">
        <v>17</v>
      </c>
      <c r="T26" s="71">
        <v>3.8</v>
      </c>
      <c r="U26" s="71">
        <v>21</v>
      </c>
      <c r="V26" s="71">
        <v>4.8</v>
      </c>
      <c r="W26" s="76">
        <v>3559</v>
      </c>
      <c r="X26" s="71">
        <v>100</v>
      </c>
    </row>
    <row r="27" spans="1:24" x14ac:dyDescent="0.3">
      <c r="A27" s="71" t="s">
        <v>42</v>
      </c>
      <c r="B27" s="76">
        <v>403</v>
      </c>
      <c r="C27" s="71">
        <v>29</v>
      </c>
      <c r="D27" s="71">
        <v>7.2</v>
      </c>
      <c r="E27" s="71">
        <v>10</v>
      </c>
      <c r="F27" s="71">
        <v>2.5</v>
      </c>
      <c r="G27" s="76">
        <v>34</v>
      </c>
      <c r="H27" s="71">
        <v>8.4</v>
      </c>
      <c r="I27" s="76">
        <v>106</v>
      </c>
      <c r="J27" s="71">
        <v>26.3</v>
      </c>
      <c r="K27" s="76">
        <v>203</v>
      </c>
      <c r="L27" s="71">
        <v>50.4</v>
      </c>
      <c r="M27" s="71">
        <v>0</v>
      </c>
      <c r="N27" s="71">
        <v>0</v>
      </c>
      <c r="O27" s="71">
        <v>21</v>
      </c>
      <c r="P27" s="71">
        <v>5.2</v>
      </c>
      <c r="Q27" s="76">
        <v>106</v>
      </c>
      <c r="R27" s="71">
        <v>26.3</v>
      </c>
      <c r="S27" s="71">
        <v>9</v>
      </c>
      <c r="T27" s="71">
        <v>2.2000000000000002</v>
      </c>
      <c r="U27" s="71">
        <v>33</v>
      </c>
      <c r="V27" s="71">
        <v>8.1999999999999993</v>
      </c>
      <c r="W27" s="76">
        <v>2232</v>
      </c>
      <c r="X27" s="71">
        <v>100</v>
      </c>
    </row>
    <row r="28" spans="1:24" x14ac:dyDescent="0.3">
      <c r="A28" s="71" t="s">
        <v>43</v>
      </c>
      <c r="B28" s="76">
        <v>56</v>
      </c>
      <c r="C28" s="71">
        <v>0</v>
      </c>
      <c r="D28" s="71">
        <v>0</v>
      </c>
      <c r="E28" s="71">
        <v>1</v>
      </c>
      <c r="F28" s="71">
        <v>1.8</v>
      </c>
      <c r="G28" s="76">
        <v>0</v>
      </c>
      <c r="H28" s="71">
        <v>0</v>
      </c>
      <c r="I28" s="76">
        <v>28</v>
      </c>
      <c r="J28" s="71">
        <v>50</v>
      </c>
      <c r="K28" s="76">
        <v>27</v>
      </c>
      <c r="L28" s="71">
        <v>48.2</v>
      </c>
      <c r="M28" s="71">
        <v>0</v>
      </c>
      <c r="N28" s="71">
        <v>0</v>
      </c>
      <c r="O28" s="71">
        <v>0</v>
      </c>
      <c r="P28" s="71">
        <v>0</v>
      </c>
      <c r="Q28" s="76">
        <v>14</v>
      </c>
      <c r="R28" s="71">
        <v>25</v>
      </c>
      <c r="S28" s="71">
        <v>0</v>
      </c>
      <c r="T28" s="71">
        <v>0</v>
      </c>
      <c r="U28" s="71">
        <v>0</v>
      </c>
      <c r="V28" s="71">
        <v>0</v>
      </c>
      <c r="W28" s="76">
        <v>960</v>
      </c>
      <c r="X28" s="71">
        <v>100</v>
      </c>
    </row>
    <row r="29" spans="1:24" x14ac:dyDescent="0.3">
      <c r="A29" s="71" t="s">
        <v>44</v>
      </c>
      <c r="B29" s="76">
        <v>366</v>
      </c>
      <c r="C29" s="71">
        <v>1</v>
      </c>
      <c r="D29" s="71">
        <v>0.3</v>
      </c>
      <c r="E29" s="71">
        <v>2</v>
      </c>
      <c r="F29" s="71">
        <v>0.5</v>
      </c>
      <c r="G29" s="76">
        <v>10</v>
      </c>
      <c r="H29" s="71">
        <v>2.7</v>
      </c>
      <c r="I29" s="76">
        <v>122</v>
      </c>
      <c r="J29" s="71">
        <v>33.299999999999997</v>
      </c>
      <c r="K29" s="76">
        <v>217</v>
      </c>
      <c r="L29" s="71">
        <v>59.3</v>
      </c>
      <c r="M29" s="71">
        <v>0</v>
      </c>
      <c r="N29" s="71">
        <v>0</v>
      </c>
      <c r="O29" s="71">
        <v>14</v>
      </c>
      <c r="P29" s="71">
        <v>3.8</v>
      </c>
      <c r="Q29" s="76">
        <v>92</v>
      </c>
      <c r="R29" s="71">
        <v>25.1</v>
      </c>
      <c r="S29" s="71">
        <v>10</v>
      </c>
      <c r="T29" s="71">
        <v>2.7</v>
      </c>
      <c r="U29" s="71">
        <v>5</v>
      </c>
      <c r="V29" s="71">
        <v>1.4</v>
      </c>
      <c r="W29" s="76">
        <v>2381</v>
      </c>
      <c r="X29" s="71">
        <v>100</v>
      </c>
    </row>
    <row r="30" spans="1:24" x14ac:dyDescent="0.3">
      <c r="A30" s="71" t="s">
        <v>45</v>
      </c>
      <c r="B30" s="76">
        <v>56</v>
      </c>
      <c r="C30" s="71">
        <v>4</v>
      </c>
      <c r="D30" s="71">
        <v>7.1</v>
      </c>
      <c r="E30" s="71">
        <v>1</v>
      </c>
      <c r="F30" s="71">
        <v>1.8</v>
      </c>
      <c r="G30" s="76">
        <v>2</v>
      </c>
      <c r="H30" s="71">
        <v>3.6</v>
      </c>
      <c r="I30" s="76">
        <v>2</v>
      </c>
      <c r="J30" s="71">
        <v>3.6</v>
      </c>
      <c r="K30" s="76">
        <v>45</v>
      </c>
      <c r="L30" s="71">
        <v>80.400000000000006</v>
      </c>
      <c r="M30" s="71">
        <v>0</v>
      </c>
      <c r="N30" s="71">
        <v>0</v>
      </c>
      <c r="O30" s="71">
        <v>2</v>
      </c>
      <c r="P30" s="71">
        <v>3.6</v>
      </c>
      <c r="Q30" s="76">
        <v>10</v>
      </c>
      <c r="R30" s="71">
        <v>17.899999999999999</v>
      </c>
      <c r="S30" s="71">
        <v>1</v>
      </c>
      <c r="T30" s="71">
        <v>1.8</v>
      </c>
      <c r="U30" s="71">
        <v>0</v>
      </c>
      <c r="V30" s="71">
        <v>0</v>
      </c>
      <c r="W30" s="76">
        <v>823</v>
      </c>
      <c r="X30" s="71">
        <v>96.2</v>
      </c>
    </row>
    <row r="31" spans="1:24" x14ac:dyDescent="0.3">
      <c r="A31" s="71" t="s">
        <v>46</v>
      </c>
      <c r="B31" s="76">
        <v>130</v>
      </c>
      <c r="C31" s="71">
        <v>2</v>
      </c>
      <c r="D31" s="71">
        <v>1.5</v>
      </c>
      <c r="E31" s="71">
        <v>0</v>
      </c>
      <c r="F31" s="71">
        <v>0</v>
      </c>
      <c r="G31" s="76">
        <v>26</v>
      </c>
      <c r="H31" s="71">
        <v>20</v>
      </c>
      <c r="I31" s="76">
        <v>22</v>
      </c>
      <c r="J31" s="71">
        <v>16.899999999999999</v>
      </c>
      <c r="K31" s="76">
        <v>71</v>
      </c>
      <c r="L31" s="71">
        <v>54.6</v>
      </c>
      <c r="M31" s="71">
        <v>0</v>
      </c>
      <c r="N31" s="71">
        <v>0</v>
      </c>
      <c r="O31" s="71">
        <v>9</v>
      </c>
      <c r="P31" s="71">
        <v>6.9</v>
      </c>
      <c r="Q31" s="76">
        <v>33</v>
      </c>
      <c r="R31" s="71">
        <v>25.4</v>
      </c>
      <c r="S31" s="71">
        <v>3</v>
      </c>
      <c r="T31" s="71">
        <v>2.2999999999999998</v>
      </c>
      <c r="U31" s="71">
        <v>0</v>
      </c>
      <c r="V31" s="71">
        <v>0</v>
      </c>
      <c r="W31" s="76">
        <v>1055</v>
      </c>
      <c r="X31" s="71">
        <v>100</v>
      </c>
    </row>
    <row r="32" spans="1:24" x14ac:dyDescent="0.3">
      <c r="A32" s="71" t="s">
        <v>47</v>
      </c>
      <c r="B32" s="76">
        <v>19</v>
      </c>
      <c r="C32" s="71">
        <v>2</v>
      </c>
      <c r="D32" s="71">
        <v>10.5</v>
      </c>
      <c r="E32" s="71">
        <v>0</v>
      </c>
      <c r="F32" s="71">
        <v>0</v>
      </c>
      <c r="G32" s="76">
        <v>7</v>
      </c>
      <c r="H32" s="71">
        <v>36.799999999999997</v>
      </c>
      <c r="I32" s="76">
        <v>0</v>
      </c>
      <c r="J32" s="71">
        <v>0</v>
      </c>
      <c r="K32" s="76">
        <v>10</v>
      </c>
      <c r="L32" s="71">
        <v>52.6</v>
      </c>
      <c r="M32" s="71">
        <v>0</v>
      </c>
      <c r="N32" s="71">
        <v>0</v>
      </c>
      <c r="O32" s="71">
        <v>0</v>
      </c>
      <c r="P32" s="71">
        <v>0</v>
      </c>
      <c r="Q32" s="76">
        <v>2</v>
      </c>
      <c r="R32" s="71">
        <v>10.5</v>
      </c>
      <c r="S32" s="71">
        <v>2</v>
      </c>
      <c r="T32" s="71">
        <v>10.5</v>
      </c>
      <c r="U32" s="71">
        <v>5</v>
      </c>
      <c r="V32" s="71">
        <v>26.3</v>
      </c>
      <c r="W32" s="76">
        <v>704</v>
      </c>
      <c r="X32" s="71">
        <v>100</v>
      </c>
    </row>
    <row r="33" spans="1:24" x14ac:dyDescent="0.3">
      <c r="A33" s="71" t="s">
        <v>48</v>
      </c>
      <c r="B33" s="76">
        <v>93</v>
      </c>
      <c r="C33" s="71">
        <v>1</v>
      </c>
      <c r="D33" s="71">
        <v>1.1000000000000001</v>
      </c>
      <c r="E33" s="71">
        <v>1</v>
      </c>
      <c r="F33" s="71">
        <v>1.1000000000000001</v>
      </c>
      <c r="G33" s="76">
        <v>1</v>
      </c>
      <c r="H33" s="71">
        <v>1.1000000000000001</v>
      </c>
      <c r="I33" s="76">
        <v>4</v>
      </c>
      <c r="J33" s="71">
        <v>4.3</v>
      </c>
      <c r="K33" s="76">
        <v>83</v>
      </c>
      <c r="L33" s="71">
        <v>89.2</v>
      </c>
      <c r="M33" s="71">
        <v>1</v>
      </c>
      <c r="N33" s="71">
        <v>1.1000000000000001</v>
      </c>
      <c r="O33" s="71">
        <v>2</v>
      </c>
      <c r="P33" s="71">
        <v>2.2000000000000002</v>
      </c>
      <c r="Q33" s="76">
        <v>18</v>
      </c>
      <c r="R33" s="71">
        <v>19.399999999999999</v>
      </c>
      <c r="S33" s="71">
        <v>7</v>
      </c>
      <c r="T33" s="71">
        <v>7.5</v>
      </c>
      <c r="U33" s="71">
        <v>0</v>
      </c>
      <c r="V33" s="71">
        <v>0</v>
      </c>
      <c r="W33" s="76">
        <v>491</v>
      </c>
      <c r="X33" s="71">
        <v>100</v>
      </c>
    </row>
    <row r="34" spans="1:24" x14ac:dyDescent="0.3">
      <c r="A34" s="71" t="s">
        <v>49</v>
      </c>
      <c r="B34" s="76">
        <v>885</v>
      </c>
      <c r="C34" s="71">
        <v>1</v>
      </c>
      <c r="D34" s="71">
        <v>0.1</v>
      </c>
      <c r="E34" s="71">
        <v>37</v>
      </c>
      <c r="F34" s="71">
        <v>4.2</v>
      </c>
      <c r="G34" s="76">
        <v>195</v>
      </c>
      <c r="H34" s="71">
        <v>22</v>
      </c>
      <c r="I34" s="76">
        <v>189</v>
      </c>
      <c r="J34" s="71">
        <v>21.4</v>
      </c>
      <c r="K34" s="76">
        <v>439</v>
      </c>
      <c r="L34" s="71">
        <v>49.6</v>
      </c>
      <c r="M34" s="71">
        <v>0</v>
      </c>
      <c r="N34" s="71">
        <v>0</v>
      </c>
      <c r="O34" s="71">
        <v>24</v>
      </c>
      <c r="P34" s="71">
        <v>2.7</v>
      </c>
      <c r="Q34" s="76">
        <v>215</v>
      </c>
      <c r="R34" s="71">
        <v>24.3</v>
      </c>
      <c r="S34" s="71">
        <v>33</v>
      </c>
      <c r="T34" s="71">
        <v>3.7</v>
      </c>
      <c r="U34" s="71">
        <v>13</v>
      </c>
      <c r="V34" s="71">
        <v>1.5</v>
      </c>
      <c r="W34" s="76">
        <v>2561</v>
      </c>
      <c r="X34" s="71">
        <v>100</v>
      </c>
    </row>
    <row r="35" spans="1:24" x14ac:dyDescent="0.3">
      <c r="A35" s="71" t="s">
        <v>50</v>
      </c>
      <c r="B35" s="76">
        <v>23</v>
      </c>
      <c r="C35" s="71">
        <v>4</v>
      </c>
      <c r="D35" s="71">
        <v>17.399999999999999</v>
      </c>
      <c r="E35" s="71">
        <v>0</v>
      </c>
      <c r="F35" s="71">
        <v>0</v>
      </c>
      <c r="G35" s="76">
        <v>11</v>
      </c>
      <c r="H35" s="71">
        <v>47.8</v>
      </c>
      <c r="I35" s="76">
        <v>0</v>
      </c>
      <c r="J35" s="71">
        <v>0</v>
      </c>
      <c r="K35" s="76">
        <v>8</v>
      </c>
      <c r="L35" s="71">
        <v>34.799999999999997</v>
      </c>
      <c r="M35" s="71">
        <v>0</v>
      </c>
      <c r="N35" s="71">
        <v>0</v>
      </c>
      <c r="O35" s="71">
        <v>0</v>
      </c>
      <c r="P35" s="71">
        <v>0</v>
      </c>
      <c r="Q35" s="76">
        <v>7</v>
      </c>
      <c r="R35" s="71">
        <v>30.4</v>
      </c>
      <c r="S35" s="71">
        <v>0</v>
      </c>
      <c r="T35" s="71">
        <v>0</v>
      </c>
      <c r="U35" s="71">
        <v>3</v>
      </c>
      <c r="V35" s="71">
        <v>13</v>
      </c>
      <c r="W35" s="76">
        <v>866</v>
      </c>
      <c r="X35" s="71">
        <v>100</v>
      </c>
    </row>
    <row r="36" spans="1:24" x14ac:dyDescent="0.3">
      <c r="A36" s="71" t="s">
        <v>51</v>
      </c>
      <c r="B36" s="76">
        <v>538</v>
      </c>
      <c r="C36" s="71">
        <v>2</v>
      </c>
      <c r="D36" s="71">
        <v>0.4</v>
      </c>
      <c r="E36" s="71">
        <v>12</v>
      </c>
      <c r="F36" s="71">
        <v>2.2000000000000002</v>
      </c>
      <c r="G36" s="76">
        <v>35</v>
      </c>
      <c r="H36" s="71">
        <v>6.5</v>
      </c>
      <c r="I36" s="76">
        <v>109</v>
      </c>
      <c r="J36" s="71">
        <v>20.3</v>
      </c>
      <c r="K36" s="76">
        <v>374</v>
      </c>
      <c r="L36" s="71">
        <v>69.5</v>
      </c>
      <c r="M36" s="71">
        <v>0</v>
      </c>
      <c r="N36" s="71">
        <v>0</v>
      </c>
      <c r="O36" s="71">
        <v>6</v>
      </c>
      <c r="P36" s="71">
        <v>1.1000000000000001</v>
      </c>
      <c r="Q36" s="76">
        <v>182</v>
      </c>
      <c r="R36" s="71">
        <v>33.799999999999997</v>
      </c>
      <c r="S36" s="71">
        <v>14</v>
      </c>
      <c r="T36" s="71">
        <v>2.6</v>
      </c>
      <c r="U36" s="71">
        <v>4</v>
      </c>
      <c r="V36" s="71">
        <v>0.7</v>
      </c>
      <c r="W36" s="76">
        <v>4873</v>
      </c>
      <c r="X36" s="71">
        <v>100</v>
      </c>
    </row>
    <row r="37" spans="1:24" x14ac:dyDescent="0.3">
      <c r="A37" s="71" t="s">
        <v>52</v>
      </c>
      <c r="B37" s="76">
        <v>45</v>
      </c>
      <c r="C37" s="71">
        <v>0</v>
      </c>
      <c r="D37" s="71">
        <v>0</v>
      </c>
      <c r="E37" s="71">
        <v>1</v>
      </c>
      <c r="F37" s="71">
        <v>2.2000000000000002</v>
      </c>
      <c r="G37" s="76">
        <v>6</v>
      </c>
      <c r="H37" s="71">
        <v>13.3</v>
      </c>
      <c r="I37" s="76">
        <v>20</v>
      </c>
      <c r="J37" s="71">
        <v>44.4</v>
      </c>
      <c r="K37" s="76">
        <v>12</v>
      </c>
      <c r="L37" s="71">
        <v>26.7</v>
      </c>
      <c r="M37" s="71">
        <v>0</v>
      </c>
      <c r="N37" s="71">
        <v>0</v>
      </c>
      <c r="O37" s="71">
        <v>6</v>
      </c>
      <c r="P37" s="71">
        <v>13.3</v>
      </c>
      <c r="Q37" s="76">
        <v>15</v>
      </c>
      <c r="R37" s="71">
        <v>33.299999999999997</v>
      </c>
      <c r="S37" s="71">
        <v>1</v>
      </c>
      <c r="T37" s="71">
        <v>2.2000000000000002</v>
      </c>
      <c r="U37" s="71">
        <v>2</v>
      </c>
      <c r="V37" s="71">
        <v>4.4000000000000004</v>
      </c>
      <c r="W37" s="76">
        <v>2661</v>
      </c>
      <c r="X37" s="71">
        <v>100</v>
      </c>
    </row>
    <row r="38" spans="1:24" x14ac:dyDescent="0.3">
      <c r="A38" s="71" t="s">
        <v>53</v>
      </c>
      <c r="B38" s="76">
        <v>20</v>
      </c>
      <c r="C38" s="71">
        <v>4</v>
      </c>
      <c r="D38" s="71">
        <v>20</v>
      </c>
      <c r="E38" s="71">
        <v>0</v>
      </c>
      <c r="F38" s="71">
        <v>0</v>
      </c>
      <c r="G38" s="76">
        <v>3</v>
      </c>
      <c r="H38" s="71">
        <v>15</v>
      </c>
      <c r="I38" s="76">
        <v>2</v>
      </c>
      <c r="J38" s="71">
        <v>10</v>
      </c>
      <c r="K38" s="76">
        <v>11</v>
      </c>
      <c r="L38" s="71">
        <v>55</v>
      </c>
      <c r="M38" s="71">
        <v>0</v>
      </c>
      <c r="N38" s="71">
        <v>0</v>
      </c>
      <c r="O38" s="71">
        <v>0</v>
      </c>
      <c r="P38" s="71">
        <v>0</v>
      </c>
      <c r="Q38" s="76">
        <v>5</v>
      </c>
      <c r="R38" s="71">
        <v>25</v>
      </c>
      <c r="S38" s="71">
        <v>0</v>
      </c>
      <c r="T38" s="71">
        <v>0</v>
      </c>
      <c r="U38" s="71">
        <v>1</v>
      </c>
      <c r="V38" s="71">
        <v>5</v>
      </c>
      <c r="W38" s="76">
        <v>483</v>
      </c>
      <c r="X38" s="71">
        <v>100</v>
      </c>
    </row>
    <row r="39" spans="1:24" x14ac:dyDescent="0.3">
      <c r="A39" s="71" t="s">
        <v>54</v>
      </c>
      <c r="B39" s="76">
        <v>136</v>
      </c>
      <c r="C39" s="71">
        <v>0</v>
      </c>
      <c r="D39" s="71">
        <v>0</v>
      </c>
      <c r="E39" s="71">
        <v>0</v>
      </c>
      <c r="F39" s="71">
        <v>0</v>
      </c>
      <c r="G39" s="76">
        <v>3</v>
      </c>
      <c r="H39" s="71">
        <v>2.2000000000000002</v>
      </c>
      <c r="I39" s="76">
        <v>44</v>
      </c>
      <c r="J39" s="71">
        <v>32.4</v>
      </c>
      <c r="K39" s="76">
        <v>83</v>
      </c>
      <c r="L39" s="71">
        <v>61</v>
      </c>
      <c r="M39" s="71">
        <v>0</v>
      </c>
      <c r="N39" s="71">
        <v>0</v>
      </c>
      <c r="O39" s="71">
        <v>6</v>
      </c>
      <c r="P39" s="71">
        <v>4.4000000000000004</v>
      </c>
      <c r="Q39" s="76">
        <v>30</v>
      </c>
      <c r="R39" s="71">
        <v>22.1</v>
      </c>
      <c r="S39" s="71">
        <v>8</v>
      </c>
      <c r="T39" s="71">
        <v>5.9</v>
      </c>
      <c r="U39" s="71">
        <v>1</v>
      </c>
      <c r="V39" s="71">
        <v>0.7</v>
      </c>
      <c r="W39" s="76">
        <v>3593</v>
      </c>
      <c r="X39" s="71">
        <v>100</v>
      </c>
    </row>
    <row r="40" spans="1:24" x14ac:dyDescent="0.3">
      <c r="A40" s="71" t="s">
        <v>55</v>
      </c>
      <c r="B40" s="76">
        <v>137</v>
      </c>
      <c r="C40" s="71">
        <v>10</v>
      </c>
      <c r="D40" s="71">
        <v>7.3</v>
      </c>
      <c r="E40" s="71">
        <v>4</v>
      </c>
      <c r="F40" s="71">
        <v>2.9</v>
      </c>
      <c r="G40" s="76">
        <v>17</v>
      </c>
      <c r="H40" s="71">
        <v>12.4</v>
      </c>
      <c r="I40" s="76">
        <v>26</v>
      </c>
      <c r="J40" s="71">
        <v>19</v>
      </c>
      <c r="K40" s="76">
        <v>71</v>
      </c>
      <c r="L40" s="71">
        <v>51.8</v>
      </c>
      <c r="M40" s="71">
        <v>0</v>
      </c>
      <c r="N40" s="71">
        <v>0</v>
      </c>
      <c r="O40" s="71">
        <v>9</v>
      </c>
      <c r="P40" s="71">
        <v>6.6</v>
      </c>
      <c r="Q40" s="76">
        <v>38</v>
      </c>
      <c r="R40" s="71">
        <v>27.7</v>
      </c>
      <c r="S40" s="71">
        <v>1</v>
      </c>
      <c r="T40" s="71">
        <v>0.7</v>
      </c>
      <c r="U40" s="71">
        <v>4</v>
      </c>
      <c r="V40" s="71">
        <v>2.9</v>
      </c>
      <c r="W40" s="76">
        <v>1816</v>
      </c>
      <c r="X40" s="71">
        <v>100</v>
      </c>
    </row>
    <row r="41" spans="1:24" x14ac:dyDescent="0.3">
      <c r="A41" s="71" t="s">
        <v>56</v>
      </c>
      <c r="B41" s="76">
        <v>713</v>
      </c>
      <c r="C41" s="71">
        <v>6</v>
      </c>
      <c r="D41" s="71">
        <v>0.8</v>
      </c>
      <c r="E41" s="71">
        <v>7</v>
      </c>
      <c r="F41" s="71">
        <v>1</v>
      </c>
      <c r="G41" s="76">
        <v>263</v>
      </c>
      <c r="H41" s="71">
        <v>36.9</v>
      </c>
      <c r="I41" s="76">
        <v>21</v>
      </c>
      <c r="J41" s="71">
        <v>2.9</v>
      </c>
      <c r="K41" s="76">
        <v>362</v>
      </c>
      <c r="L41" s="71">
        <v>50.8</v>
      </c>
      <c r="M41" s="71">
        <v>17</v>
      </c>
      <c r="N41" s="71">
        <v>2.4</v>
      </c>
      <c r="O41" s="71">
        <v>37</v>
      </c>
      <c r="P41" s="71">
        <v>5.2</v>
      </c>
      <c r="Q41" s="76">
        <v>208</v>
      </c>
      <c r="R41" s="71">
        <v>29.2</v>
      </c>
      <c r="S41" s="71">
        <v>25</v>
      </c>
      <c r="T41" s="71">
        <v>3.5</v>
      </c>
      <c r="U41" s="71">
        <v>121</v>
      </c>
      <c r="V41" s="71">
        <v>17</v>
      </c>
      <c r="W41" s="76">
        <v>1289</v>
      </c>
      <c r="X41" s="71">
        <v>100</v>
      </c>
    </row>
    <row r="42" spans="1:24" x14ac:dyDescent="0.3">
      <c r="A42" s="71" t="s">
        <v>57</v>
      </c>
      <c r="B42" s="76">
        <v>405</v>
      </c>
      <c r="C42" s="71">
        <v>1</v>
      </c>
      <c r="D42" s="71">
        <v>0.2</v>
      </c>
      <c r="E42" s="71">
        <v>1</v>
      </c>
      <c r="F42" s="71">
        <v>0.2</v>
      </c>
      <c r="G42" s="76">
        <v>142</v>
      </c>
      <c r="H42" s="71">
        <v>35.1</v>
      </c>
      <c r="I42" s="76">
        <v>80</v>
      </c>
      <c r="J42" s="71">
        <v>19.8</v>
      </c>
      <c r="K42" s="76">
        <v>170</v>
      </c>
      <c r="L42" s="71">
        <v>42</v>
      </c>
      <c r="M42" s="71">
        <v>0</v>
      </c>
      <c r="N42" s="71">
        <v>0</v>
      </c>
      <c r="O42" s="71">
        <v>11</v>
      </c>
      <c r="P42" s="71">
        <v>2.7</v>
      </c>
      <c r="Q42" s="76">
        <v>147</v>
      </c>
      <c r="R42" s="71">
        <v>36.299999999999997</v>
      </c>
      <c r="S42" s="71">
        <v>10</v>
      </c>
      <c r="T42" s="71">
        <v>2.5</v>
      </c>
      <c r="U42" s="71">
        <v>34</v>
      </c>
      <c r="V42" s="71">
        <v>8.4</v>
      </c>
      <c r="W42" s="76">
        <v>3006</v>
      </c>
      <c r="X42" s="71">
        <v>100</v>
      </c>
    </row>
    <row r="43" spans="1:24" x14ac:dyDescent="0.3">
      <c r="A43" s="71" t="s">
        <v>58</v>
      </c>
      <c r="B43" s="76">
        <v>27</v>
      </c>
      <c r="C43" s="71">
        <v>0</v>
      </c>
      <c r="D43" s="71">
        <v>0</v>
      </c>
      <c r="E43" s="71">
        <v>0</v>
      </c>
      <c r="F43" s="71">
        <v>0</v>
      </c>
      <c r="G43" s="76">
        <v>3</v>
      </c>
      <c r="H43" s="71">
        <v>11.1</v>
      </c>
      <c r="I43" s="76">
        <v>2</v>
      </c>
      <c r="J43" s="71">
        <v>7.4</v>
      </c>
      <c r="K43" s="76">
        <v>22</v>
      </c>
      <c r="L43" s="71">
        <v>81.5</v>
      </c>
      <c r="M43" s="71">
        <v>0</v>
      </c>
      <c r="N43" s="71">
        <v>0</v>
      </c>
      <c r="O43" s="71">
        <v>0</v>
      </c>
      <c r="P43" s="71">
        <v>0</v>
      </c>
      <c r="Q43" s="76">
        <v>10</v>
      </c>
      <c r="R43" s="71">
        <v>37</v>
      </c>
      <c r="S43" s="71">
        <v>3</v>
      </c>
      <c r="T43" s="71">
        <v>11.1</v>
      </c>
      <c r="U43" s="71">
        <v>0</v>
      </c>
      <c r="V43" s="71">
        <v>0</v>
      </c>
      <c r="W43" s="76">
        <v>312</v>
      </c>
      <c r="X43" s="71">
        <v>100</v>
      </c>
    </row>
    <row r="44" spans="1:24" x14ac:dyDescent="0.3">
      <c r="A44" s="71" t="s">
        <v>59</v>
      </c>
      <c r="B44" s="76">
        <v>185</v>
      </c>
      <c r="C44" s="71">
        <v>0</v>
      </c>
      <c r="D44" s="71">
        <v>0</v>
      </c>
      <c r="E44" s="71">
        <v>2</v>
      </c>
      <c r="F44" s="71">
        <v>1.1000000000000001</v>
      </c>
      <c r="G44" s="76">
        <v>6</v>
      </c>
      <c r="H44" s="71">
        <v>3.2</v>
      </c>
      <c r="I44" s="76">
        <v>136</v>
      </c>
      <c r="J44" s="71">
        <v>73.5</v>
      </c>
      <c r="K44" s="76">
        <v>39</v>
      </c>
      <c r="L44" s="71">
        <v>21.1</v>
      </c>
      <c r="M44" s="71">
        <v>0</v>
      </c>
      <c r="N44" s="71">
        <v>0</v>
      </c>
      <c r="O44" s="71">
        <v>2</v>
      </c>
      <c r="P44" s="71">
        <v>1.1000000000000001</v>
      </c>
      <c r="Q44" s="76">
        <v>49</v>
      </c>
      <c r="R44" s="71">
        <v>26.5</v>
      </c>
      <c r="S44" s="71">
        <v>4</v>
      </c>
      <c r="T44" s="71">
        <v>2.2000000000000002</v>
      </c>
      <c r="U44" s="71">
        <v>3</v>
      </c>
      <c r="V44" s="71">
        <v>1.6</v>
      </c>
      <c r="W44" s="76">
        <v>1243</v>
      </c>
      <c r="X44" s="71">
        <v>100</v>
      </c>
    </row>
    <row r="45" spans="1:24" x14ac:dyDescent="0.3">
      <c r="A45" s="71" t="s">
        <v>60</v>
      </c>
      <c r="B45" s="76">
        <v>39</v>
      </c>
      <c r="C45" s="71">
        <v>3</v>
      </c>
      <c r="D45" s="71">
        <v>7.7</v>
      </c>
      <c r="E45" s="71">
        <v>0</v>
      </c>
      <c r="F45" s="71">
        <v>0</v>
      </c>
      <c r="G45" s="76">
        <v>3</v>
      </c>
      <c r="H45" s="71">
        <v>7.7</v>
      </c>
      <c r="I45" s="76">
        <v>3</v>
      </c>
      <c r="J45" s="71">
        <v>7.7</v>
      </c>
      <c r="K45" s="76">
        <v>28</v>
      </c>
      <c r="L45" s="71">
        <v>71.8</v>
      </c>
      <c r="M45" s="71">
        <v>0</v>
      </c>
      <c r="N45" s="71">
        <v>0</v>
      </c>
      <c r="O45" s="71">
        <v>2</v>
      </c>
      <c r="P45" s="71">
        <v>5.0999999999999996</v>
      </c>
      <c r="Q45" s="76">
        <v>17</v>
      </c>
      <c r="R45" s="71">
        <v>43.6</v>
      </c>
      <c r="S45" s="71">
        <v>1</v>
      </c>
      <c r="T45" s="71">
        <v>2.6</v>
      </c>
      <c r="U45" s="71">
        <v>0</v>
      </c>
      <c r="V45" s="71">
        <v>0</v>
      </c>
      <c r="W45" s="76">
        <v>698</v>
      </c>
      <c r="X45" s="71">
        <v>100</v>
      </c>
    </row>
    <row r="46" spans="1:24" x14ac:dyDescent="0.3">
      <c r="A46" s="71" t="s">
        <v>61</v>
      </c>
      <c r="B46" s="76">
        <v>97</v>
      </c>
      <c r="C46" s="71">
        <v>0</v>
      </c>
      <c r="D46" s="71">
        <v>0</v>
      </c>
      <c r="E46" s="71">
        <v>1</v>
      </c>
      <c r="F46" s="71">
        <v>1</v>
      </c>
      <c r="G46" s="76">
        <v>3</v>
      </c>
      <c r="H46" s="71">
        <v>3.1</v>
      </c>
      <c r="I46" s="76">
        <v>11</v>
      </c>
      <c r="J46" s="71">
        <v>11.3</v>
      </c>
      <c r="K46" s="76">
        <v>77</v>
      </c>
      <c r="L46" s="71">
        <v>79.400000000000006</v>
      </c>
      <c r="M46" s="71">
        <v>0</v>
      </c>
      <c r="N46" s="71">
        <v>0</v>
      </c>
      <c r="O46" s="71">
        <v>5</v>
      </c>
      <c r="P46" s="71">
        <v>5.2</v>
      </c>
      <c r="Q46" s="76">
        <v>15</v>
      </c>
      <c r="R46" s="71">
        <v>15.5</v>
      </c>
      <c r="S46" s="71">
        <v>3</v>
      </c>
      <c r="T46" s="71">
        <v>3.1</v>
      </c>
      <c r="U46" s="71">
        <v>0</v>
      </c>
      <c r="V46" s="71">
        <v>0</v>
      </c>
      <c r="W46" s="76">
        <v>1777</v>
      </c>
      <c r="X46" s="71">
        <v>100</v>
      </c>
    </row>
    <row r="47" spans="1:24" x14ac:dyDescent="0.3">
      <c r="A47" s="71" t="s">
        <v>62</v>
      </c>
      <c r="B47" s="76">
        <v>245</v>
      </c>
      <c r="C47" s="71">
        <v>1</v>
      </c>
      <c r="D47" s="71">
        <v>0.4</v>
      </c>
      <c r="E47" s="71">
        <v>2</v>
      </c>
      <c r="F47" s="71">
        <v>0.8</v>
      </c>
      <c r="G47" s="76">
        <v>121</v>
      </c>
      <c r="H47" s="71">
        <v>49.4</v>
      </c>
      <c r="I47" s="76">
        <v>53</v>
      </c>
      <c r="J47" s="71">
        <v>21.6</v>
      </c>
      <c r="K47" s="76">
        <v>60</v>
      </c>
      <c r="L47" s="71">
        <v>24.5</v>
      </c>
      <c r="M47" s="71">
        <v>0</v>
      </c>
      <c r="N47" s="71">
        <v>0</v>
      </c>
      <c r="O47" s="71">
        <v>8</v>
      </c>
      <c r="P47" s="71">
        <v>3.3</v>
      </c>
      <c r="Q47" s="76">
        <v>61</v>
      </c>
      <c r="R47" s="71">
        <v>24.9</v>
      </c>
      <c r="S47" s="71">
        <v>17</v>
      </c>
      <c r="T47" s="71">
        <v>6.9</v>
      </c>
      <c r="U47" s="71">
        <v>44</v>
      </c>
      <c r="V47" s="71">
        <v>18</v>
      </c>
      <c r="W47" s="76">
        <v>8758</v>
      </c>
      <c r="X47" s="71">
        <v>100</v>
      </c>
    </row>
    <row r="48" spans="1:24" x14ac:dyDescent="0.3">
      <c r="A48" s="71" t="s">
        <v>63</v>
      </c>
      <c r="B48" s="76">
        <v>268</v>
      </c>
      <c r="C48" s="71">
        <v>13</v>
      </c>
      <c r="D48" s="71">
        <v>4.9000000000000004</v>
      </c>
      <c r="E48" s="71">
        <v>1</v>
      </c>
      <c r="F48" s="71">
        <v>0.4</v>
      </c>
      <c r="G48" s="76">
        <v>69</v>
      </c>
      <c r="H48" s="71">
        <v>25.7</v>
      </c>
      <c r="I48" s="76">
        <v>8</v>
      </c>
      <c r="J48" s="71">
        <v>3</v>
      </c>
      <c r="K48" s="76">
        <v>163</v>
      </c>
      <c r="L48" s="71">
        <v>60.8</v>
      </c>
      <c r="M48" s="71">
        <v>5</v>
      </c>
      <c r="N48" s="71">
        <v>1.9</v>
      </c>
      <c r="O48" s="71">
        <v>9</v>
      </c>
      <c r="P48" s="71">
        <v>3.4</v>
      </c>
      <c r="Q48" s="76">
        <v>54</v>
      </c>
      <c r="R48" s="71">
        <v>20.100000000000001</v>
      </c>
      <c r="S48" s="71">
        <v>5</v>
      </c>
      <c r="T48" s="71">
        <v>1.9</v>
      </c>
      <c r="U48" s="71">
        <v>34</v>
      </c>
      <c r="V48" s="71">
        <v>12.7</v>
      </c>
      <c r="W48" s="76">
        <v>1029</v>
      </c>
      <c r="X48" s="71">
        <v>100</v>
      </c>
    </row>
    <row r="49" spans="1:24" x14ac:dyDescent="0.3">
      <c r="A49" s="71" t="s">
        <v>64</v>
      </c>
      <c r="B49" s="76">
        <v>86</v>
      </c>
      <c r="C49" s="71">
        <v>0</v>
      </c>
      <c r="D49" s="71">
        <v>0</v>
      </c>
      <c r="E49" s="71">
        <v>1</v>
      </c>
      <c r="F49" s="71">
        <v>1.2</v>
      </c>
      <c r="G49" s="76">
        <v>1</v>
      </c>
      <c r="H49" s="71">
        <v>1.2</v>
      </c>
      <c r="I49" s="76">
        <v>4</v>
      </c>
      <c r="J49" s="71">
        <v>4.7</v>
      </c>
      <c r="K49" s="76">
        <v>78</v>
      </c>
      <c r="L49" s="71">
        <v>90.7</v>
      </c>
      <c r="M49" s="71">
        <v>0</v>
      </c>
      <c r="N49" s="71">
        <v>0</v>
      </c>
      <c r="O49" s="71">
        <v>2</v>
      </c>
      <c r="P49" s="71">
        <v>2.2999999999999998</v>
      </c>
      <c r="Q49" s="76">
        <v>25</v>
      </c>
      <c r="R49" s="71">
        <v>29.1</v>
      </c>
      <c r="S49" s="71">
        <v>6</v>
      </c>
      <c r="T49" s="71">
        <v>7</v>
      </c>
      <c r="U49" s="71">
        <v>0</v>
      </c>
      <c r="V49" s="71">
        <v>0</v>
      </c>
      <c r="W49" s="76">
        <v>302</v>
      </c>
      <c r="X49" s="71">
        <v>100</v>
      </c>
    </row>
    <row r="50" spans="1:24" x14ac:dyDescent="0.3">
      <c r="A50" s="71" t="s">
        <v>65</v>
      </c>
      <c r="B50" s="76">
        <v>99</v>
      </c>
      <c r="C50" s="71">
        <v>0</v>
      </c>
      <c r="D50" s="71">
        <v>0</v>
      </c>
      <c r="E50" s="71">
        <v>0</v>
      </c>
      <c r="F50" s="71">
        <v>0</v>
      </c>
      <c r="G50" s="76">
        <v>14</v>
      </c>
      <c r="H50" s="71">
        <v>14.1</v>
      </c>
      <c r="I50" s="76">
        <v>63</v>
      </c>
      <c r="J50" s="71">
        <v>63.6</v>
      </c>
      <c r="K50" s="76">
        <v>20</v>
      </c>
      <c r="L50" s="71">
        <v>20.2</v>
      </c>
      <c r="M50" s="71">
        <v>0</v>
      </c>
      <c r="N50" s="71">
        <v>0</v>
      </c>
      <c r="O50" s="71">
        <v>2</v>
      </c>
      <c r="P50" s="71">
        <v>2</v>
      </c>
      <c r="Q50" s="76">
        <v>37</v>
      </c>
      <c r="R50" s="71">
        <v>37.4</v>
      </c>
      <c r="S50" s="71">
        <v>0</v>
      </c>
      <c r="T50" s="71">
        <v>0</v>
      </c>
      <c r="U50" s="71">
        <v>9</v>
      </c>
      <c r="V50" s="71">
        <v>9.1</v>
      </c>
      <c r="W50" s="76">
        <v>1982</v>
      </c>
      <c r="X50" s="71">
        <v>98.4</v>
      </c>
    </row>
    <row r="51" spans="1:24" x14ac:dyDescent="0.3">
      <c r="A51" s="71" t="s">
        <v>66</v>
      </c>
      <c r="B51" s="76">
        <v>288</v>
      </c>
      <c r="C51" s="71">
        <v>4</v>
      </c>
      <c r="D51" s="71">
        <v>1.4</v>
      </c>
      <c r="E51" s="71">
        <v>4</v>
      </c>
      <c r="F51" s="71">
        <v>1.4</v>
      </c>
      <c r="G51" s="76">
        <v>66</v>
      </c>
      <c r="H51" s="71">
        <v>22.9</v>
      </c>
      <c r="I51" s="76">
        <v>34</v>
      </c>
      <c r="J51" s="71">
        <v>11.8</v>
      </c>
      <c r="K51" s="76">
        <v>160</v>
      </c>
      <c r="L51" s="71">
        <v>55.6</v>
      </c>
      <c r="M51" s="71">
        <v>2</v>
      </c>
      <c r="N51" s="71">
        <v>0.7</v>
      </c>
      <c r="O51" s="71">
        <v>18</v>
      </c>
      <c r="P51" s="71">
        <v>6.3</v>
      </c>
      <c r="Q51" s="76">
        <v>82</v>
      </c>
      <c r="R51" s="71">
        <v>28.5</v>
      </c>
      <c r="S51" s="71">
        <v>13</v>
      </c>
      <c r="T51" s="71">
        <v>4.5</v>
      </c>
      <c r="U51" s="71">
        <v>30</v>
      </c>
      <c r="V51" s="71">
        <v>10.4</v>
      </c>
      <c r="W51" s="76">
        <v>2339</v>
      </c>
      <c r="X51" s="71">
        <v>100</v>
      </c>
    </row>
    <row r="52" spans="1:24" x14ac:dyDescent="0.3">
      <c r="A52" s="71" t="s">
        <v>67</v>
      </c>
      <c r="B52" s="76">
        <v>34</v>
      </c>
      <c r="C52" s="71">
        <v>0</v>
      </c>
      <c r="D52" s="71">
        <v>0</v>
      </c>
      <c r="E52" s="71">
        <v>0</v>
      </c>
      <c r="F52" s="71">
        <v>0</v>
      </c>
      <c r="G52" s="76">
        <v>0</v>
      </c>
      <c r="H52" s="71">
        <v>0</v>
      </c>
      <c r="I52" s="76">
        <v>1</v>
      </c>
      <c r="J52" s="71">
        <v>2.9</v>
      </c>
      <c r="K52" s="76">
        <v>32</v>
      </c>
      <c r="L52" s="71">
        <v>94.1</v>
      </c>
      <c r="M52" s="71">
        <v>0</v>
      </c>
      <c r="N52" s="71">
        <v>0</v>
      </c>
      <c r="O52" s="71">
        <v>1</v>
      </c>
      <c r="P52" s="71">
        <v>2.9</v>
      </c>
      <c r="Q52" s="76">
        <v>9</v>
      </c>
      <c r="R52" s="71">
        <v>26.5</v>
      </c>
      <c r="S52" s="71">
        <v>0</v>
      </c>
      <c r="T52" s="71">
        <v>0</v>
      </c>
      <c r="U52" s="71">
        <v>0</v>
      </c>
      <c r="V52" s="71">
        <v>0</v>
      </c>
      <c r="W52" s="76">
        <v>691</v>
      </c>
      <c r="X52" s="71">
        <v>100</v>
      </c>
    </row>
    <row r="53" spans="1:24" x14ac:dyDescent="0.3">
      <c r="A53" s="71" t="s">
        <v>68</v>
      </c>
      <c r="B53" s="76">
        <v>345</v>
      </c>
      <c r="C53" s="71">
        <v>3</v>
      </c>
      <c r="D53" s="71">
        <v>0.9</v>
      </c>
      <c r="E53" s="71">
        <v>1</v>
      </c>
      <c r="F53" s="71">
        <v>0.3</v>
      </c>
      <c r="G53" s="76">
        <v>40</v>
      </c>
      <c r="H53" s="71">
        <v>11.6</v>
      </c>
      <c r="I53" s="76">
        <v>40</v>
      </c>
      <c r="J53" s="71">
        <v>11.6</v>
      </c>
      <c r="K53" s="76">
        <v>249</v>
      </c>
      <c r="L53" s="71">
        <v>72.2</v>
      </c>
      <c r="M53" s="71">
        <v>1</v>
      </c>
      <c r="N53" s="71">
        <v>0.3</v>
      </c>
      <c r="O53" s="71">
        <v>11</v>
      </c>
      <c r="P53" s="71">
        <v>3.2</v>
      </c>
      <c r="Q53" s="76">
        <v>106</v>
      </c>
      <c r="R53" s="71">
        <v>30.7</v>
      </c>
      <c r="S53" s="71">
        <v>2</v>
      </c>
      <c r="T53" s="71">
        <v>0.6</v>
      </c>
      <c r="U53" s="71">
        <v>12</v>
      </c>
      <c r="V53" s="71">
        <v>3.5</v>
      </c>
      <c r="W53" s="76">
        <v>2235</v>
      </c>
      <c r="X53" s="71">
        <v>100</v>
      </c>
    </row>
    <row r="54" spans="1:24" x14ac:dyDescent="0.3">
      <c r="A54" s="71" t="s">
        <v>69</v>
      </c>
      <c r="B54" s="76">
        <v>19</v>
      </c>
      <c r="C54" s="71">
        <v>0</v>
      </c>
      <c r="D54" s="71">
        <v>0</v>
      </c>
      <c r="E54" s="71">
        <v>0</v>
      </c>
      <c r="F54" s="71">
        <v>0</v>
      </c>
      <c r="G54" s="76">
        <v>0</v>
      </c>
      <c r="H54" s="71">
        <v>0</v>
      </c>
      <c r="I54" s="76">
        <v>0</v>
      </c>
      <c r="J54" s="71">
        <v>0</v>
      </c>
      <c r="K54" s="76">
        <v>17</v>
      </c>
      <c r="L54" s="71">
        <v>89.5</v>
      </c>
      <c r="M54" s="71">
        <v>0</v>
      </c>
      <c r="N54" s="71">
        <v>0</v>
      </c>
      <c r="O54" s="71">
        <v>2</v>
      </c>
      <c r="P54" s="71">
        <v>10.5</v>
      </c>
      <c r="Q54" s="76">
        <v>2</v>
      </c>
      <c r="R54" s="71">
        <v>10.5</v>
      </c>
      <c r="S54" s="71">
        <v>2</v>
      </c>
      <c r="T54" s="71">
        <v>10.5</v>
      </c>
      <c r="U54" s="71">
        <v>0</v>
      </c>
      <c r="V54" s="71">
        <v>0</v>
      </c>
      <c r="W54" s="76">
        <v>366</v>
      </c>
      <c r="X54" s="71">
        <v>100</v>
      </c>
    </row>
    <row r="55" spans="1:24" x14ac:dyDescent="0.3">
      <c r="A55" s="71" t="s">
        <v>71</v>
      </c>
      <c r="B55" s="76">
        <v>0</v>
      </c>
      <c r="C55" s="71">
        <v>0</v>
      </c>
      <c r="D55" s="71">
        <v>0</v>
      </c>
      <c r="E55" s="71">
        <v>0</v>
      </c>
      <c r="F55" s="71">
        <v>0</v>
      </c>
      <c r="G55" s="76">
        <v>0</v>
      </c>
      <c r="H55" s="71">
        <v>0</v>
      </c>
      <c r="I55" s="76">
        <v>0</v>
      </c>
      <c r="J55" s="71">
        <v>0</v>
      </c>
      <c r="K55" s="76">
        <v>0</v>
      </c>
      <c r="L55" s="71">
        <v>0</v>
      </c>
      <c r="M55" s="71">
        <v>0</v>
      </c>
      <c r="N55" s="71">
        <v>0</v>
      </c>
      <c r="O55" s="71">
        <v>0</v>
      </c>
      <c r="P55" s="71">
        <v>0</v>
      </c>
      <c r="Q55" s="76">
        <v>0</v>
      </c>
      <c r="R55" s="71">
        <v>0</v>
      </c>
      <c r="S55" s="71">
        <v>0</v>
      </c>
      <c r="T55" s="71">
        <v>0</v>
      </c>
      <c r="U55" s="71">
        <v>0</v>
      </c>
      <c r="V55" s="71">
        <v>0</v>
      </c>
      <c r="W55" s="76">
        <v>1099</v>
      </c>
      <c r="X55" s="7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AC543-1FE8-4828-9A55-87EDF531C5DE}">
  <dimension ref="A1:X59"/>
  <sheetViews>
    <sheetView topLeftCell="A34" zoomScale="66" zoomScaleNormal="66" workbookViewId="0">
      <selection activeCell="C2" sqref="C2"/>
    </sheetView>
  </sheetViews>
  <sheetFormatPr defaultRowHeight="14" x14ac:dyDescent="0.3"/>
  <cols>
    <col min="1" max="1" width="49.5546875" style="71" bestFit="1" customWidth="1"/>
    <col min="2" max="2" width="13.109375" style="76" customWidth="1"/>
    <col min="3" max="3" width="12.44140625" style="71" customWidth="1"/>
    <col min="4" max="4" width="15.109375" style="71" customWidth="1"/>
    <col min="5" max="6" width="10.5546875" style="71" customWidth="1"/>
    <col min="7" max="7" width="13.44140625" style="71" customWidth="1"/>
    <col min="8" max="8" width="13.77734375" style="71" customWidth="1"/>
    <col min="9" max="9" width="12.5546875" style="71" customWidth="1"/>
    <col min="10" max="10" width="12.44140625" style="71" customWidth="1"/>
    <col min="11" max="11" width="10.21875" style="76" customWidth="1"/>
    <col min="12" max="12" width="10.21875" style="71" customWidth="1"/>
    <col min="13" max="13" width="16.109375" style="71" customWidth="1"/>
    <col min="14" max="14" width="16.33203125" style="71" customWidth="1"/>
    <col min="15" max="15" width="10.44140625" style="71" customWidth="1"/>
    <col min="16" max="16" width="10.88671875" style="71" customWidth="1"/>
    <col min="17" max="17" width="18.109375" style="71" customWidth="1"/>
    <col min="18" max="18" width="17.6640625" style="71" customWidth="1"/>
    <col min="19" max="19" width="19.33203125" style="71" customWidth="1"/>
    <col min="20" max="20" width="18.109375" style="71" customWidth="1"/>
    <col min="21" max="21" width="17" style="71" customWidth="1"/>
    <col min="22" max="22" width="13.5546875" style="71" customWidth="1"/>
    <col min="23" max="23" width="13.77734375" style="76" customWidth="1"/>
    <col min="24" max="24" width="13.109375" style="71" customWidth="1"/>
    <col min="25" max="16384" width="8.88671875" style="71"/>
  </cols>
  <sheetData>
    <row r="1" spans="1:24" ht="15" x14ac:dyDescent="0.3">
      <c r="A1" s="73" t="s">
        <v>91</v>
      </c>
    </row>
    <row r="2" spans="1:24" s="74" customFormat="1" ht="70" x14ac:dyDescent="0.3">
      <c r="A2" s="74" t="s">
        <v>0</v>
      </c>
      <c r="B2" s="77" t="s">
        <v>1</v>
      </c>
      <c r="C2" s="74" t="s">
        <v>103</v>
      </c>
      <c r="D2" s="74" t="s">
        <v>82</v>
      </c>
      <c r="E2" s="74" t="s">
        <v>8</v>
      </c>
      <c r="F2" s="74" t="s">
        <v>78</v>
      </c>
      <c r="G2" s="74" t="s">
        <v>9</v>
      </c>
      <c r="H2" s="74" t="s">
        <v>79</v>
      </c>
      <c r="I2" s="74" t="s">
        <v>10</v>
      </c>
      <c r="J2" s="74" t="s">
        <v>89</v>
      </c>
      <c r="K2" s="77" t="s">
        <v>11</v>
      </c>
      <c r="L2" s="74" t="s">
        <v>80</v>
      </c>
      <c r="M2" s="74" t="s">
        <v>12</v>
      </c>
      <c r="N2" s="74" t="s">
        <v>83</v>
      </c>
      <c r="O2" s="74" t="s">
        <v>13</v>
      </c>
      <c r="P2" s="74" t="s">
        <v>84</v>
      </c>
      <c r="Q2" s="74" t="s">
        <v>2</v>
      </c>
      <c r="R2" s="74" t="s">
        <v>85</v>
      </c>
      <c r="S2" s="74" t="s">
        <v>3</v>
      </c>
      <c r="T2" s="74" t="s">
        <v>86</v>
      </c>
      <c r="U2" s="74" t="s">
        <v>4</v>
      </c>
      <c r="V2" s="74" t="s">
        <v>87</v>
      </c>
      <c r="W2" s="77" t="s">
        <v>5</v>
      </c>
      <c r="X2" s="74" t="s">
        <v>88</v>
      </c>
    </row>
    <row r="3" spans="1:24" x14ac:dyDescent="0.3">
      <c r="A3" s="71" t="s">
        <v>72</v>
      </c>
      <c r="B3" s="76">
        <v>2720</v>
      </c>
      <c r="C3" s="71">
        <v>59</v>
      </c>
      <c r="D3" s="71">
        <v>2.2000000000000002</v>
      </c>
      <c r="E3" s="71">
        <v>27</v>
      </c>
      <c r="F3" s="71">
        <v>1</v>
      </c>
      <c r="G3" s="71">
        <v>648</v>
      </c>
      <c r="H3" s="71">
        <v>23.8</v>
      </c>
      <c r="I3" s="71">
        <v>778</v>
      </c>
      <c r="J3" s="71">
        <v>28.6</v>
      </c>
      <c r="K3" s="76">
        <v>1078</v>
      </c>
      <c r="L3" s="71">
        <v>39.6</v>
      </c>
      <c r="M3" s="71">
        <v>18</v>
      </c>
      <c r="N3" s="71">
        <v>0.7</v>
      </c>
      <c r="O3" s="71">
        <v>112</v>
      </c>
      <c r="P3" s="71">
        <v>4.0999999999999996</v>
      </c>
      <c r="Q3" s="71">
        <v>510</v>
      </c>
      <c r="R3" s="71">
        <v>18.8</v>
      </c>
      <c r="S3" s="71">
        <v>59</v>
      </c>
      <c r="T3" s="71">
        <v>2.2000000000000002</v>
      </c>
      <c r="U3" s="71">
        <v>193</v>
      </c>
      <c r="V3" s="71">
        <v>7.1</v>
      </c>
      <c r="W3" s="76">
        <v>97632</v>
      </c>
      <c r="X3" s="71">
        <v>99.2</v>
      </c>
    </row>
    <row r="4" spans="1:24" x14ac:dyDescent="0.3">
      <c r="A4" s="71" t="s">
        <v>19</v>
      </c>
      <c r="B4" s="76">
        <v>14</v>
      </c>
      <c r="C4" s="71">
        <v>0</v>
      </c>
      <c r="D4" s="71">
        <v>0</v>
      </c>
      <c r="E4" s="71">
        <v>0</v>
      </c>
      <c r="F4" s="71">
        <v>0</v>
      </c>
      <c r="G4" s="71">
        <v>1</v>
      </c>
      <c r="H4" s="71">
        <v>7.1</v>
      </c>
      <c r="I4" s="71">
        <v>8</v>
      </c>
      <c r="J4" s="71">
        <v>57.1</v>
      </c>
      <c r="K4" s="76">
        <v>3</v>
      </c>
      <c r="L4" s="71">
        <v>21.4</v>
      </c>
      <c r="M4" s="71">
        <v>0</v>
      </c>
      <c r="N4" s="71">
        <v>0</v>
      </c>
      <c r="O4" s="71">
        <v>2</v>
      </c>
      <c r="P4" s="71">
        <v>14.3</v>
      </c>
      <c r="Q4" s="71">
        <v>1</v>
      </c>
      <c r="R4" s="71">
        <v>7.1</v>
      </c>
      <c r="S4" s="71">
        <v>0</v>
      </c>
      <c r="T4" s="71">
        <v>0</v>
      </c>
      <c r="U4" s="71">
        <v>0</v>
      </c>
      <c r="V4" s="71">
        <v>0</v>
      </c>
      <c r="W4" s="76">
        <v>1390</v>
      </c>
      <c r="X4" s="71">
        <v>94</v>
      </c>
    </row>
    <row r="5" spans="1:24" x14ac:dyDescent="0.3">
      <c r="A5" s="71" t="s">
        <v>20</v>
      </c>
      <c r="B5" s="76">
        <v>21</v>
      </c>
      <c r="C5" s="71">
        <v>8</v>
      </c>
      <c r="D5" s="71">
        <v>38.1</v>
      </c>
      <c r="E5" s="71">
        <v>0</v>
      </c>
      <c r="F5" s="71">
        <v>0</v>
      </c>
      <c r="G5" s="71">
        <v>12</v>
      </c>
      <c r="H5" s="71">
        <v>57.1</v>
      </c>
      <c r="I5" s="71">
        <v>1</v>
      </c>
      <c r="J5" s="71">
        <v>4.8</v>
      </c>
      <c r="K5" s="76">
        <v>0</v>
      </c>
      <c r="L5" s="71">
        <v>0</v>
      </c>
      <c r="M5" s="71">
        <v>0</v>
      </c>
      <c r="N5" s="71">
        <v>0</v>
      </c>
      <c r="O5" s="71">
        <v>0</v>
      </c>
      <c r="P5" s="71">
        <v>0</v>
      </c>
      <c r="Q5" s="71">
        <v>1</v>
      </c>
      <c r="R5" s="71">
        <v>4.8</v>
      </c>
      <c r="S5" s="71">
        <v>0</v>
      </c>
      <c r="T5" s="71">
        <v>0</v>
      </c>
      <c r="U5" s="71">
        <v>0</v>
      </c>
      <c r="V5" s="71">
        <v>0</v>
      </c>
      <c r="W5" s="76">
        <v>506</v>
      </c>
      <c r="X5" s="71">
        <v>100</v>
      </c>
    </row>
    <row r="6" spans="1:24" x14ac:dyDescent="0.3">
      <c r="A6" s="71" t="s">
        <v>21</v>
      </c>
      <c r="B6" s="76">
        <v>92</v>
      </c>
      <c r="C6" s="71">
        <v>9</v>
      </c>
      <c r="D6" s="71">
        <v>9.8000000000000007</v>
      </c>
      <c r="E6" s="71">
        <v>1</v>
      </c>
      <c r="F6" s="71">
        <v>1.1000000000000001</v>
      </c>
      <c r="G6" s="71">
        <v>45</v>
      </c>
      <c r="H6" s="71">
        <v>48.9</v>
      </c>
      <c r="I6" s="71">
        <v>9</v>
      </c>
      <c r="J6" s="71">
        <v>9.8000000000000007</v>
      </c>
      <c r="K6" s="76">
        <v>27</v>
      </c>
      <c r="L6" s="71">
        <v>29.3</v>
      </c>
      <c r="M6" s="71">
        <v>0</v>
      </c>
      <c r="N6" s="71">
        <v>0</v>
      </c>
      <c r="O6" s="71">
        <v>1</v>
      </c>
      <c r="P6" s="71">
        <v>1.1000000000000001</v>
      </c>
      <c r="Q6" s="71">
        <v>11</v>
      </c>
      <c r="R6" s="71">
        <v>12</v>
      </c>
      <c r="S6" s="71">
        <v>3</v>
      </c>
      <c r="T6" s="71">
        <v>3.3</v>
      </c>
      <c r="U6" s="71">
        <v>0</v>
      </c>
      <c r="V6" s="71">
        <v>0</v>
      </c>
      <c r="W6" s="76">
        <v>2000</v>
      </c>
      <c r="X6" s="71">
        <v>100</v>
      </c>
    </row>
    <row r="7" spans="1:24" x14ac:dyDescent="0.3">
      <c r="A7" s="71" t="s">
        <v>22</v>
      </c>
      <c r="B7" s="76">
        <v>18</v>
      </c>
      <c r="C7" s="71">
        <v>0</v>
      </c>
      <c r="D7" s="71">
        <v>0</v>
      </c>
      <c r="E7" s="71">
        <v>0</v>
      </c>
      <c r="F7" s="71">
        <v>0</v>
      </c>
      <c r="G7" s="71">
        <v>0</v>
      </c>
      <c r="H7" s="71">
        <v>0</v>
      </c>
      <c r="I7" s="71">
        <v>3</v>
      </c>
      <c r="J7" s="71">
        <v>16.7</v>
      </c>
      <c r="K7" s="76">
        <v>13</v>
      </c>
      <c r="L7" s="71">
        <v>72.2</v>
      </c>
      <c r="M7" s="71">
        <v>0</v>
      </c>
      <c r="N7" s="71">
        <v>0</v>
      </c>
      <c r="O7" s="71">
        <v>2</v>
      </c>
      <c r="P7" s="71">
        <v>11.1</v>
      </c>
      <c r="Q7" s="71">
        <v>1</v>
      </c>
      <c r="R7" s="71">
        <v>5.6</v>
      </c>
      <c r="S7" s="71">
        <v>0</v>
      </c>
      <c r="T7" s="71">
        <v>0</v>
      </c>
      <c r="U7" s="71">
        <v>0</v>
      </c>
      <c r="V7" s="71">
        <v>0</v>
      </c>
      <c r="W7" s="76">
        <v>1088</v>
      </c>
      <c r="X7" s="71">
        <v>100</v>
      </c>
    </row>
    <row r="8" spans="1:24" x14ac:dyDescent="0.3">
      <c r="A8" s="71" t="s">
        <v>23</v>
      </c>
      <c r="B8" s="76">
        <v>347</v>
      </c>
      <c r="C8" s="71">
        <v>4</v>
      </c>
      <c r="D8" s="71">
        <v>1.2</v>
      </c>
      <c r="E8" s="71">
        <v>5</v>
      </c>
      <c r="F8" s="71">
        <v>1.4</v>
      </c>
      <c r="G8" s="71">
        <v>190</v>
      </c>
      <c r="H8" s="71">
        <v>54.8</v>
      </c>
      <c r="I8" s="71">
        <v>68</v>
      </c>
      <c r="J8" s="71">
        <v>19.600000000000001</v>
      </c>
      <c r="K8" s="76">
        <v>65</v>
      </c>
      <c r="L8" s="71">
        <v>18.7</v>
      </c>
      <c r="M8" s="71">
        <v>0</v>
      </c>
      <c r="N8" s="71">
        <v>0</v>
      </c>
      <c r="O8" s="71">
        <v>15</v>
      </c>
      <c r="P8" s="71">
        <v>4.3</v>
      </c>
      <c r="Q8" s="71">
        <v>46</v>
      </c>
      <c r="R8" s="71">
        <v>13.3</v>
      </c>
      <c r="S8" s="71">
        <v>3</v>
      </c>
      <c r="T8" s="71">
        <v>0.9</v>
      </c>
      <c r="U8" s="71">
        <v>66</v>
      </c>
      <c r="V8" s="71">
        <v>19</v>
      </c>
      <c r="W8" s="76">
        <v>10121</v>
      </c>
      <c r="X8" s="71">
        <v>99.2</v>
      </c>
    </row>
    <row r="9" spans="1:24" x14ac:dyDescent="0.3">
      <c r="A9" s="71" t="s">
        <v>24</v>
      </c>
      <c r="B9" s="76">
        <v>6</v>
      </c>
      <c r="C9" s="71">
        <v>0</v>
      </c>
      <c r="D9" s="71">
        <v>0</v>
      </c>
      <c r="E9" s="71">
        <v>0</v>
      </c>
      <c r="F9" s="71">
        <v>0</v>
      </c>
      <c r="G9" s="71">
        <v>3</v>
      </c>
      <c r="H9" s="71">
        <v>50</v>
      </c>
      <c r="I9" s="71">
        <v>0</v>
      </c>
      <c r="J9" s="71">
        <v>0</v>
      </c>
      <c r="K9" s="76">
        <v>2</v>
      </c>
      <c r="L9" s="71">
        <v>33.299999999999997</v>
      </c>
      <c r="M9" s="71">
        <v>0</v>
      </c>
      <c r="N9" s="71">
        <v>0</v>
      </c>
      <c r="O9" s="71">
        <v>1</v>
      </c>
      <c r="P9" s="71">
        <v>16.7</v>
      </c>
      <c r="Q9" s="71">
        <v>1</v>
      </c>
      <c r="R9" s="71">
        <v>16.7</v>
      </c>
      <c r="S9" s="71">
        <v>0</v>
      </c>
      <c r="T9" s="71">
        <v>0</v>
      </c>
      <c r="U9" s="71">
        <v>1</v>
      </c>
      <c r="V9" s="71">
        <v>16.7</v>
      </c>
      <c r="W9" s="76">
        <v>1908</v>
      </c>
      <c r="X9" s="71">
        <v>100</v>
      </c>
    </row>
    <row r="10" spans="1:24" x14ac:dyDescent="0.3">
      <c r="A10" s="71" t="s">
        <v>25</v>
      </c>
      <c r="B10" s="76">
        <v>17</v>
      </c>
      <c r="C10" s="71">
        <v>0</v>
      </c>
      <c r="D10" s="71">
        <v>0</v>
      </c>
      <c r="E10" s="71">
        <v>0</v>
      </c>
      <c r="F10" s="71">
        <v>0</v>
      </c>
      <c r="G10" s="71">
        <v>8</v>
      </c>
      <c r="H10" s="71">
        <v>47.1</v>
      </c>
      <c r="I10" s="71">
        <v>1</v>
      </c>
      <c r="J10" s="71">
        <v>5.9</v>
      </c>
      <c r="K10" s="76">
        <v>8</v>
      </c>
      <c r="L10" s="71">
        <v>47.1</v>
      </c>
      <c r="M10" s="71">
        <v>0</v>
      </c>
      <c r="N10" s="71">
        <v>0</v>
      </c>
      <c r="O10" s="71">
        <v>0</v>
      </c>
      <c r="P10" s="71">
        <v>0</v>
      </c>
      <c r="Q10" s="71">
        <v>4</v>
      </c>
      <c r="R10" s="71">
        <v>23.5</v>
      </c>
      <c r="S10" s="71">
        <v>2</v>
      </c>
      <c r="T10" s="71">
        <v>11.8</v>
      </c>
      <c r="U10" s="71">
        <v>0</v>
      </c>
      <c r="V10" s="71">
        <v>0</v>
      </c>
      <c r="W10" s="76">
        <v>1214</v>
      </c>
      <c r="X10" s="71">
        <v>100</v>
      </c>
    </row>
    <row r="11" spans="1:24" x14ac:dyDescent="0.3">
      <c r="A11" s="71" t="s">
        <v>26</v>
      </c>
      <c r="B11" s="76">
        <v>1</v>
      </c>
      <c r="C11" s="71">
        <v>0</v>
      </c>
      <c r="D11" s="71">
        <v>0</v>
      </c>
      <c r="E11" s="71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6">
        <v>1</v>
      </c>
      <c r="L11" s="71">
        <v>100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6">
        <v>231</v>
      </c>
      <c r="X11" s="71">
        <v>100</v>
      </c>
    </row>
    <row r="12" spans="1:24" x14ac:dyDescent="0.3">
      <c r="A12" s="71" t="s">
        <v>27</v>
      </c>
      <c r="B12" s="76">
        <v>1</v>
      </c>
      <c r="C12" s="71">
        <v>0</v>
      </c>
      <c r="D12" s="71">
        <v>0</v>
      </c>
      <c r="E12" s="71">
        <v>0</v>
      </c>
      <c r="F12" s="71">
        <v>0</v>
      </c>
      <c r="G12" s="71">
        <v>0</v>
      </c>
      <c r="H12" s="71">
        <v>0</v>
      </c>
      <c r="I12" s="71">
        <v>1</v>
      </c>
      <c r="J12" s="71">
        <v>100</v>
      </c>
      <c r="K12" s="76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6">
        <v>228</v>
      </c>
      <c r="X12" s="71">
        <v>99.6</v>
      </c>
    </row>
    <row r="13" spans="1:24" x14ac:dyDescent="0.3">
      <c r="A13" s="71" t="s">
        <v>28</v>
      </c>
      <c r="B13" s="76">
        <v>41</v>
      </c>
      <c r="C13" s="71">
        <v>0</v>
      </c>
      <c r="D13" s="71">
        <v>0</v>
      </c>
      <c r="E13" s="71">
        <v>0</v>
      </c>
      <c r="F13" s="71">
        <v>0</v>
      </c>
      <c r="G13" s="71">
        <v>5</v>
      </c>
      <c r="H13" s="71">
        <v>12.2</v>
      </c>
      <c r="I13" s="71">
        <v>23</v>
      </c>
      <c r="J13" s="71">
        <v>56.1</v>
      </c>
      <c r="K13" s="76">
        <v>9</v>
      </c>
      <c r="L13" s="71">
        <v>22</v>
      </c>
      <c r="M13" s="71">
        <v>0</v>
      </c>
      <c r="N13" s="71">
        <v>0</v>
      </c>
      <c r="O13" s="71">
        <v>4</v>
      </c>
      <c r="P13" s="71">
        <v>9.8000000000000007</v>
      </c>
      <c r="Q13" s="71">
        <v>17</v>
      </c>
      <c r="R13" s="71">
        <v>41.5</v>
      </c>
      <c r="S13" s="71">
        <v>0</v>
      </c>
      <c r="T13" s="71">
        <v>0</v>
      </c>
      <c r="U13" s="71">
        <v>1</v>
      </c>
      <c r="V13" s="71">
        <v>2.4</v>
      </c>
      <c r="W13" s="76">
        <v>3976</v>
      </c>
      <c r="X13" s="71">
        <v>100</v>
      </c>
    </row>
    <row r="14" spans="1:24" x14ac:dyDescent="0.3">
      <c r="A14" s="71" t="s">
        <v>29</v>
      </c>
      <c r="B14" s="76">
        <v>46</v>
      </c>
      <c r="C14" s="71">
        <v>0</v>
      </c>
      <c r="D14" s="71">
        <v>0</v>
      </c>
      <c r="E14" s="71">
        <v>0</v>
      </c>
      <c r="F14" s="71">
        <v>0</v>
      </c>
      <c r="G14" s="71">
        <v>6</v>
      </c>
      <c r="H14" s="71">
        <v>13</v>
      </c>
      <c r="I14" s="71">
        <v>31</v>
      </c>
      <c r="J14" s="71">
        <v>67.400000000000006</v>
      </c>
      <c r="K14" s="76">
        <v>8</v>
      </c>
      <c r="L14" s="71">
        <v>17.399999999999999</v>
      </c>
      <c r="M14" s="71">
        <v>0</v>
      </c>
      <c r="N14" s="71">
        <v>0</v>
      </c>
      <c r="O14" s="71">
        <v>1</v>
      </c>
      <c r="P14" s="71">
        <v>2.2000000000000002</v>
      </c>
      <c r="Q14" s="71">
        <v>7</v>
      </c>
      <c r="R14" s="71">
        <v>15.2</v>
      </c>
      <c r="S14" s="71">
        <v>0</v>
      </c>
      <c r="T14" s="71">
        <v>0</v>
      </c>
      <c r="U14" s="71">
        <v>2</v>
      </c>
      <c r="V14" s="71">
        <v>4.3</v>
      </c>
      <c r="W14" s="76">
        <v>2416</v>
      </c>
      <c r="X14" s="71">
        <v>100</v>
      </c>
    </row>
    <row r="15" spans="1:24" x14ac:dyDescent="0.3">
      <c r="A15" s="71" t="s">
        <v>30</v>
      </c>
      <c r="B15" s="76">
        <v>6</v>
      </c>
      <c r="C15" s="71">
        <v>0</v>
      </c>
      <c r="D15" s="71">
        <v>0</v>
      </c>
      <c r="E15" s="71">
        <v>0</v>
      </c>
      <c r="F15" s="71">
        <v>0</v>
      </c>
      <c r="G15" s="71">
        <v>2</v>
      </c>
      <c r="H15" s="71">
        <v>33.299999999999997</v>
      </c>
      <c r="I15" s="71">
        <v>0</v>
      </c>
      <c r="J15" s="71">
        <v>0</v>
      </c>
      <c r="K15" s="76">
        <v>0</v>
      </c>
      <c r="L15" s="71">
        <v>0</v>
      </c>
      <c r="M15" s="71">
        <v>4</v>
      </c>
      <c r="N15" s="71">
        <v>66.7</v>
      </c>
      <c r="O15" s="71">
        <v>0</v>
      </c>
      <c r="P15" s="71">
        <v>0</v>
      </c>
      <c r="Q15" s="71">
        <v>3</v>
      </c>
      <c r="R15" s="71">
        <v>50</v>
      </c>
      <c r="S15" s="71">
        <v>3</v>
      </c>
      <c r="T15" s="71">
        <v>50</v>
      </c>
      <c r="U15" s="71">
        <v>3</v>
      </c>
      <c r="V15" s="71">
        <v>50</v>
      </c>
      <c r="W15" s="76">
        <v>292</v>
      </c>
      <c r="X15" s="71">
        <v>100</v>
      </c>
    </row>
    <row r="16" spans="1:24" x14ac:dyDescent="0.3">
      <c r="A16" s="71" t="s">
        <v>31</v>
      </c>
      <c r="B16" s="76">
        <v>5</v>
      </c>
      <c r="C16" s="71">
        <v>0</v>
      </c>
      <c r="D16" s="71">
        <v>0</v>
      </c>
      <c r="E16" s="71">
        <v>0</v>
      </c>
      <c r="F16" s="71">
        <v>0</v>
      </c>
      <c r="G16" s="71">
        <v>0</v>
      </c>
      <c r="H16" s="71">
        <v>0</v>
      </c>
      <c r="I16" s="71">
        <v>0</v>
      </c>
      <c r="J16" s="71">
        <v>0</v>
      </c>
      <c r="K16" s="76">
        <v>5</v>
      </c>
      <c r="L16" s="71">
        <v>100</v>
      </c>
      <c r="M16" s="71">
        <v>0</v>
      </c>
      <c r="N16" s="71">
        <v>0</v>
      </c>
      <c r="O16" s="71">
        <v>0</v>
      </c>
      <c r="P16" s="71">
        <v>0</v>
      </c>
      <c r="Q16" s="71">
        <v>1</v>
      </c>
      <c r="R16" s="71">
        <v>20</v>
      </c>
      <c r="S16" s="71">
        <v>0</v>
      </c>
      <c r="T16" s="71">
        <v>0</v>
      </c>
      <c r="U16" s="71">
        <v>0</v>
      </c>
      <c r="V16" s="71">
        <v>0</v>
      </c>
      <c r="W16" s="76">
        <v>725</v>
      </c>
      <c r="X16" s="71">
        <v>100</v>
      </c>
    </row>
    <row r="17" spans="1:24" x14ac:dyDescent="0.3">
      <c r="A17" s="71" t="s">
        <v>32</v>
      </c>
      <c r="B17" s="76">
        <v>163</v>
      </c>
      <c r="C17" s="71">
        <v>0</v>
      </c>
      <c r="D17" s="71">
        <v>0</v>
      </c>
      <c r="E17" s="71">
        <v>6</v>
      </c>
      <c r="F17" s="71">
        <v>3.7</v>
      </c>
      <c r="G17" s="71">
        <v>27</v>
      </c>
      <c r="H17" s="71">
        <v>16.600000000000001</v>
      </c>
      <c r="I17" s="71">
        <v>81</v>
      </c>
      <c r="J17" s="71">
        <v>49.7</v>
      </c>
      <c r="K17" s="76">
        <v>42</v>
      </c>
      <c r="L17" s="71">
        <v>25.8</v>
      </c>
      <c r="M17" s="71">
        <v>0</v>
      </c>
      <c r="N17" s="71">
        <v>0</v>
      </c>
      <c r="O17" s="71">
        <v>7</v>
      </c>
      <c r="P17" s="71">
        <v>4.3</v>
      </c>
      <c r="Q17" s="71">
        <v>22</v>
      </c>
      <c r="R17" s="71">
        <v>13.5</v>
      </c>
      <c r="S17" s="71">
        <v>1</v>
      </c>
      <c r="T17" s="71">
        <v>0.6</v>
      </c>
      <c r="U17" s="71">
        <v>11</v>
      </c>
      <c r="V17" s="71">
        <v>6.7</v>
      </c>
      <c r="W17" s="76">
        <v>4145</v>
      </c>
      <c r="X17" s="71">
        <v>87.2</v>
      </c>
    </row>
    <row r="18" spans="1:24" x14ac:dyDescent="0.3">
      <c r="A18" s="71" t="s">
        <v>33</v>
      </c>
      <c r="B18" s="76">
        <v>41</v>
      </c>
      <c r="C18" s="71">
        <v>0</v>
      </c>
      <c r="D18" s="71">
        <v>0</v>
      </c>
      <c r="E18" s="71">
        <v>0</v>
      </c>
      <c r="F18" s="71">
        <v>0</v>
      </c>
      <c r="G18" s="71">
        <v>5</v>
      </c>
      <c r="H18" s="71">
        <v>12.2</v>
      </c>
      <c r="I18" s="71">
        <v>23</v>
      </c>
      <c r="J18" s="71">
        <v>56.1</v>
      </c>
      <c r="K18" s="76">
        <v>11</v>
      </c>
      <c r="L18" s="71">
        <v>26.8</v>
      </c>
      <c r="M18" s="71">
        <v>0</v>
      </c>
      <c r="N18" s="71">
        <v>0</v>
      </c>
      <c r="O18" s="71">
        <v>2</v>
      </c>
      <c r="P18" s="71">
        <v>4.9000000000000004</v>
      </c>
      <c r="Q18" s="71">
        <v>3</v>
      </c>
      <c r="R18" s="71">
        <v>7.3</v>
      </c>
      <c r="S18" s="71">
        <v>0</v>
      </c>
      <c r="T18" s="71">
        <v>0</v>
      </c>
      <c r="U18" s="71">
        <v>1</v>
      </c>
      <c r="V18" s="71">
        <v>2.4</v>
      </c>
      <c r="W18" s="76">
        <v>1886</v>
      </c>
      <c r="X18" s="71">
        <v>100</v>
      </c>
    </row>
    <row r="19" spans="1:24" x14ac:dyDescent="0.3">
      <c r="A19" s="71" t="s">
        <v>34</v>
      </c>
      <c r="B19" s="76">
        <v>36</v>
      </c>
      <c r="C19" s="71">
        <v>0</v>
      </c>
      <c r="D19" s="71">
        <v>0</v>
      </c>
      <c r="E19" s="71">
        <v>0</v>
      </c>
      <c r="F19" s="71">
        <v>0</v>
      </c>
      <c r="G19" s="71">
        <v>7</v>
      </c>
      <c r="H19" s="71">
        <v>19.399999999999999</v>
      </c>
      <c r="I19" s="71">
        <v>5</v>
      </c>
      <c r="J19" s="71">
        <v>13.9</v>
      </c>
      <c r="K19" s="76">
        <v>23</v>
      </c>
      <c r="L19" s="71">
        <v>63.9</v>
      </c>
      <c r="M19" s="71">
        <v>0</v>
      </c>
      <c r="N19" s="71">
        <v>0</v>
      </c>
      <c r="O19" s="71">
        <v>1</v>
      </c>
      <c r="P19" s="71">
        <v>2.8</v>
      </c>
      <c r="Q19" s="71">
        <v>7</v>
      </c>
      <c r="R19" s="71">
        <v>19.399999999999999</v>
      </c>
      <c r="S19" s="71">
        <v>0</v>
      </c>
      <c r="T19" s="71">
        <v>0</v>
      </c>
      <c r="U19" s="71">
        <v>3</v>
      </c>
      <c r="V19" s="71">
        <v>8.3000000000000007</v>
      </c>
      <c r="W19" s="76">
        <v>1343</v>
      </c>
      <c r="X19" s="71">
        <v>100</v>
      </c>
    </row>
    <row r="20" spans="1:24" x14ac:dyDescent="0.3">
      <c r="A20" s="71" t="s">
        <v>35</v>
      </c>
      <c r="B20" s="76">
        <v>17</v>
      </c>
      <c r="C20" s="71">
        <v>0</v>
      </c>
      <c r="D20" s="71">
        <v>0</v>
      </c>
      <c r="E20" s="71">
        <v>0</v>
      </c>
      <c r="F20" s="71">
        <v>0</v>
      </c>
      <c r="G20" s="71">
        <v>3</v>
      </c>
      <c r="H20" s="71">
        <v>17.600000000000001</v>
      </c>
      <c r="I20" s="71">
        <v>0</v>
      </c>
      <c r="J20" s="71">
        <v>0</v>
      </c>
      <c r="K20" s="76">
        <v>12</v>
      </c>
      <c r="L20" s="71">
        <v>70.599999999999994</v>
      </c>
      <c r="M20" s="71">
        <v>0</v>
      </c>
      <c r="N20" s="71">
        <v>0</v>
      </c>
      <c r="O20" s="71">
        <v>2</v>
      </c>
      <c r="P20" s="71">
        <v>11.8</v>
      </c>
      <c r="Q20" s="71">
        <v>5</v>
      </c>
      <c r="R20" s="71">
        <v>29.4</v>
      </c>
      <c r="S20" s="71">
        <v>0</v>
      </c>
      <c r="T20" s="71">
        <v>0</v>
      </c>
      <c r="U20" s="71">
        <v>1</v>
      </c>
      <c r="V20" s="71">
        <v>5.9</v>
      </c>
      <c r="W20" s="76">
        <v>1350</v>
      </c>
      <c r="X20" s="71">
        <v>100</v>
      </c>
    </row>
    <row r="21" spans="1:24" x14ac:dyDescent="0.3">
      <c r="A21" s="71" t="s">
        <v>36</v>
      </c>
      <c r="B21" s="76">
        <v>27</v>
      </c>
      <c r="C21" s="71">
        <v>0</v>
      </c>
      <c r="D21" s="71">
        <v>0</v>
      </c>
      <c r="E21" s="71">
        <v>0</v>
      </c>
      <c r="F21" s="71">
        <v>0</v>
      </c>
      <c r="G21" s="71">
        <v>0</v>
      </c>
      <c r="H21" s="71">
        <v>0</v>
      </c>
      <c r="I21" s="71">
        <v>13</v>
      </c>
      <c r="J21" s="71">
        <v>48.1</v>
      </c>
      <c r="K21" s="76">
        <v>13</v>
      </c>
      <c r="L21" s="71">
        <v>48.1</v>
      </c>
      <c r="M21" s="71">
        <v>0</v>
      </c>
      <c r="N21" s="71">
        <v>0</v>
      </c>
      <c r="O21" s="71">
        <v>1</v>
      </c>
      <c r="P21" s="71">
        <v>3.7</v>
      </c>
      <c r="Q21" s="71">
        <v>1</v>
      </c>
      <c r="R21" s="71">
        <v>3.7</v>
      </c>
      <c r="S21" s="71">
        <v>0</v>
      </c>
      <c r="T21" s="71">
        <v>0</v>
      </c>
      <c r="U21" s="71">
        <v>0</v>
      </c>
      <c r="V21" s="71">
        <v>0</v>
      </c>
      <c r="W21" s="76">
        <v>1401</v>
      </c>
      <c r="X21" s="71">
        <v>100</v>
      </c>
    </row>
    <row r="22" spans="1:24" x14ac:dyDescent="0.3">
      <c r="A22" s="71" t="s">
        <v>37</v>
      </c>
      <c r="B22" s="76">
        <v>13</v>
      </c>
      <c r="C22" s="71">
        <v>0</v>
      </c>
      <c r="D22" s="71">
        <v>0</v>
      </c>
      <c r="E22" s="71">
        <v>0</v>
      </c>
      <c r="F22" s="71">
        <v>0</v>
      </c>
      <c r="G22" s="71">
        <v>3</v>
      </c>
      <c r="H22" s="71">
        <v>23.1</v>
      </c>
      <c r="I22" s="71">
        <v>8</v>
      </c>
      <c r="J22" s="71">
        <v>61.5</v>
      </c>
      <c r="K22" s="76">
        <v>2</v>
      </c>
      <c r="L22" s="71">
        <v>15.4</v>
      </c>
      <c r="M22" s="71">
        <v>0</v>
      </c>
      <c r="N22" s="71">
        <v>0</v>
      </c>
      <c r="O22" s="71">
        <v>0</v>
      </c>
      <c r="P22" s="71">
        <v>0</v>
      </c>
      <c r="Q22" s="71">
        <v>3</v>
      </c>
      <c r="R22" s="71">
        <v>23.1</v>
      </c>
      <c r="S22" s="71">
        <v>3</v>
      </c>
      <c r="T22" s="71">
        <v>23.1</v>
      </c>
      <c r="U22" s="71">
        <v>1</v>
      </c>
      <c r="V22" s="71">
        <v>7.7</v>
      </c>
      <c r="W22" s="76">
        <v>1365</v>
      </c>
      <c r="X22" s="71">
        <v>100</v>
      </c>
    </row>
    <row r="23" spans="1:24" x14ac:dyDescent="0.3">
      <c r="A23" s="71" t="s">
        <v>38</v>
      </c>
      <c r="B23" s="76">
        <v>19</v>
      </c>
      <c r="C23" s="71">
        <v>0</v>
      </c>
      <c r="D23" s="71">
        <v>0</v>
      </c>
      <c r="E23" s="71">
        <v>0</v>
      </c>
      <c r="F23" s="71">
        <v>0</v>
      </c>
      <c r="G23" s="71">
        <v>0</v>
      </c>
      <c r="H23" s="71">
        <v>0</v>
      </c>
      <c r="I23" s="71">
        <v>2</v>
      </c>
      <c r="J23" s="71">
        <v>10.5</v>
      </c>
      <c r="K23" s="76">
        <v>16</v>
      </c>
      <c r="L23" s="71">
        <v>84.2</v>
      </c>
      <c r="M23" s="71">
        <v>0</v>
      </c>
      <c r="N23" s="71">
        <v>0</v>
      </c>
      <c r="O23" s="71">
        <v>1</v>
      </c>
      <c r="P23" s="71">
        <v>5.3</v>
      </c>
      <c r="Q23" s="71">
        <v>6</v>
      </c>
      <c r="R23" s="71">
        <v>31.6</v>
      </c>
      <c r="S23" s="71">
        <v>1</v>
      </c>
      <c r="T23" s="71">
        <v>5.3</v>
      </c>
      <c r="U23" s="71">
        <v>0</v>
      </c>
      <c r="V23" s="71">
        <v>0</v>
      </c>
      <c r="W23" s="76">
        <v>579</v>
      </c>
      <c r="X23" s="71">
        <v>100</v>
      </c>
    </row>
    <row r="24" spans="1:24" x14ac:dyDescent="0.3">
      <c r="A24" s="71" t="s">
        <v>39</v>
      </c>
      <c r="B24" s="76">
        <v>29</v>
      </c>
      <c r="C24" s="71">
        <v>0</v>
      </c>
      <c r="D24" s="71">
        <v>0</v>
      </c>
      <c r="E24" s="71">
        <v>1</v>
      </c>
      <c r="F24" s="71">
        <v>3.4</v>
      </c>
      <c r="G24" s="71">
        <v>0</v>
      </c>
      <c r="H24" s="71">
        <v>0</v>
      </c>
      <c r="I24" s="71">
        <v>14</v>
      </c>
      <c r="J24" s="71">
        <v>48.3</v>
      </c>
      <c r="K24" s="76">
        <v>13</v>
      </c>
      <c r="L24" s="71">
        <v>44.8</v>
      </c>
      <c r="M24" s="71">
        <v>0</v>
      </c>
      <c r="N24" s="71">
        <v>0</v>
      </c>
      <c r="O24" s="71">
        <v>1</v>
      </c>
      <c r="P24" s="71">
        <v>3.4</v>
      </c>
      <c r="Q24" s="71">
        <v>4</v>
      </c>
      <c r="R24" s="71">
        <v>13.8</v>
      </c>
      <c r="S24" s="71">
        <v>1</v>
      </c>
      <c r="T24" s="71">
        <v>3.4</v>
      </c>
      <c r="U24" s="71">
        <v>0</v>
      </c>
      <c r="V24" s="71">
        <v>0</v>
      </c>
      <c r="W24" s="76">
        <v>1414</v>
      </c>
      <c r="X24" s="71">
        <v>100</v>
      </c>
    </row>
    <row r="25" spans="1:24" x14ac:dyDescent="0.3">
      <c r="A25" s="71" t="s">
        <v>40</v>
      </c>
      <c r="B25" s="76">
        <v>31</v>
      </c>
      <c r="C25" s="71">
        <v>0</v>
      </c>
      <c r="D25" s="71">
        <v>0</v>
      </c>
      <c r="E25" s="71">
        <v>0</v>
      </c>
      <c r="F25" s="71">
        <v>0</v>
      </c>
      <c r="G25" s="71">
        <v>4</v>
      </c>
      <c r="H25" s="71">
        <v>12.9</v>
      </c>
      <c r="I25" s="71">
        <v>11</v>
      </c>
      <c r="J25" s="71">
        <v>35.5</v>
      </c>
      <c r="K25" s="76">
        <v>15</v>
      </c>
      <c r="L25" s="71">
        <v>48.4</v>
      </c>
      <c r="M25" s="71">
        <v>0</v>
      </c>
      <c r="N25" s="71">
        <v>0</v>
      </c>
      <c r="O25" s="71">
        <v>1</v>
      </c>
      <c r="P25" s="71">
        <v>3.2</v>
      </c>
      <c r="Q25" s="71">
        <v>3</v>
      </c>
      <c r="R25" s="71">
        <v>9.6999999999999993</v>
      </c>
      <c r="S25" s="71">
        <v>3</v>
      </c>
      <c r="T25" s="71">
        <v>9.6999999999999993</v>
      </c>
      <c r="U25" s="71">
        <v>2</v>
      </c>
      <c r="V25" s="71">
        <v>6.5</v>
      </c>
      <c r="W25" s="76">
        <v>1870</v>
      </c>
      <c r="X25" s="71">
        <v>99</v>
      </c>
    </row>
    <row r="26" spans="1:24" x14ac:dyDescent="0.3">
      <c r="A26" s="71" t="s">
        <v>41</v>
      </c>
      <c r="B26" s="76">
        <v>136</v>
      </c>
      <c r="C26" s="71">
        <v>3</v>
      </c>
      <c r="D26" s="71">
        <v>2.2000000000000002</v>
      </c>
      <c r="E26" s="71">
        <v>1</v>
      </c>
      <c r="F26" s="71">
        <v>0.7</v>
      </c>
      <c r="G26" s="71">
        <v>10</v>
      </c>
      <c r="H26" s="71">
        <v>7.4</v>
      </c>
      <c r="I26" s="71">
        <v>24</v>
      </c>
      <c r="J26" s="71">
        <v>17.600000000000001</v>
      </c>
      <c r="K26" s="76">
        <v>89</v>
      </c>
      <c r="L26" s="71">
        <v>65.400000000000006</v>
      </c>
      <c r="M26" s="71">
        <v>1</v>
      </c>
      <c r="N26" s="71">
        <v>0.7</v>
      </c>
      <c r="O26" s="71">
        <v>8</v>
      </c>
      <c r="P26" s="71">
        <v>5.9</v>
      </c>
      <c r="Q26" s="71">
        <v>26</v>
      </c>
      <c r="R26" s="71">
        <v>19.100000000000001</v>
      </c>
      <c r="S26" s="71">
        <v>2</v>
      </c>
      <c r="T26" s="71">
        <v>1.5</v>
      </c>
      <c r="U26" s="71">
        <v>5</v>
      </c>
      <c r="V26" s="71">
        <v>3.7</v>
      </c>
      <c r="W26" s="76">
        <v>3559</v>
      </c>
      <c r="X26" s="71">
        <v>100</v>
      </c>
    </row>
    <row r="27" spans="1:24" x14ac:dyDescent="0.3">
      <c r="A27" s="71" t="s">
        <v>42</v>
      </c>
      <c r="B27" s="76">
        <v>141</v>
      </c>
      <c r="C27" s="71">
        <v>15</v>
      </c>
      <c r="D27" s="71">
        <v>10.6</v>
      </c>
      <c r="E27" s="71">
        <v>4</v>
      </c>
      <c r="F27" s="71">
        <v>2.8</v>
      </c>
      <c r="G27" s="71">
        <v>22</v>
      </c>
      <c r="H27" s="71">
        <v>15.6</v>
      </c>
      <c r="I27" s="71">
        <v>45</v>
      </c>
      <c r="J27" s="71">
        <v>31.9</v>
      </c>
      <c r="K27" s="76">
        <v>52</v>
      </c>
      <c r="L27" s="71">
        <v>36.9</v>
      </c>
      <c r="M27" s="71">
        <v>0</v>
      </c>
      <c r="N27" s="71">
        <v>0</v>
      </c>
      <c r="O27" s="71">
        <v>3</v>
      </c>
      <c r="P27" s="71">
        <v>2.1</v>
      </c>
      <c r="Q27" s="71">
        <v>35</v>
      </c>
      <c r="R27" s="71">
        <v>24.8</v>
      </c>
      <c r="S27" s="71">
        <v>1</v>
      </c>
      <c r="T27" s="71">
        <v>0.7</v>
      </c>
      <c r="U27" s="71">
        <v>16</v>
      </c>
      <c r="V27" s="71">
        <v>11.3</v>
      </c>
      <c r="W27" s="76">
        <v>2232</v>
      </c>
      <c r="X27" s="71">
        <v>100</v>
      </c>
    </row>
    <row r="28" spans="1:24" x14ac:dyDescent="0.3">
      <c r="A28" s="71" t="s">
        <v>43</v>
      </c>
      <c r="B28" s="76">
        <v>16</v>
      </c>
      <c r="C28" s="71">
        <v>0</v>
      </c>
      <c r="D28" s="71">
        <v>0</v>
      </c>
      <c r="E28" s="71">
        <v>0</v>
      </c>
      <c r="F28" s="71">
        <v>0</v>
      </c>
      <c r="G28" s="71">
        <v>0</v>
      </c>
      <c r="H28" s="71">
        <v>0</v>
      </c>
      <c r="I28" s="71">
        <v>11</v>
      </c>
      <c r="J28" s="71">
        <v>68.8</v>
      </c>
      <c r="K28" s="76">
        <v>5</v>
      </c>
      <c r="L28" s="71">
        <v>31.3</v>
      </c>
      <c r="M28" s="71">
        <v>0</v>
      </c>
      <c r="N28" s="71">
        <v>0</v>
      </c>
      <c r="O28" s="71">
        <v>0</v>
      </c>
      <c r="P28" s="71">
        <v>0</v>
      </c>
      <c r="Q28" s="71">
        <v>8</v>
      </c>
      <c r="R28" s="71">
        <v>50</v>
      </c>
      <c r="S28" s="71">
        <v>0</v>
      </c>
      <c r="T28" s="71">
        <v>0</v>
      </c>
      <c r="U28" s="71">
        <v>0</v>
      </c>
      <c r="V28" s="71">
        <v>0</v>
      </c>
      <c r="W28" s="76">
        <v>960</v>
      </c>
      <c r="X28" s="71">
        <v>100</v>
      </c>
    </row>
    <row r="29" spans="1:24" x14ac:dyDescent="0.3">
      <c r="A29" s="71" t="s">
        <v>44</v>
      </c>
      <c r="B29" s="76">
        <v>107</v>
      </c>
      <c r="C29" s="71">
        <v>0</v>
      </c>
      <c r="D29" s="71">
        <v>0</v>
      </c>
      <c r="E29" s="71">
        <v>0</v>
      </c>
      <c r="F29" s="71">
        <v>0</v>
      </c>
      <c r="G29" s="71">
        <v>9</v>
      </c>
      <c r="H29" s="71">
        <v>8.4</v>
      </c>
      <c r="I29" s="71">
        <v>58</v>
      </c>
      <c r="J29" s="71">
        <v>54.2</v>
      </c>
      <c r="K29" s="76">
        <v>37</v>
      </c>
      <c r="L29" s="71">
        <v>34.6</v>
      </c>
      <c r="M29" s="71">
        <v>1</v>
      </c>
      <c r="N29" s="71">
        <v>0.9</v>
      </c>
      <c r="O29" s="71">
        <v>2</v>
      </c>
      <c r="P29" s="71">
        <v>1.9</v>
      </c>
      <c r="Q29" s="71">
        <v>8</v>
      </c>
      <c r="R29" s="71">
        <v>7.5</v>
      </c>
      <c r="S29" s="71">
        <v>1</v>
      </c>
      <c r="T29" s="71">
        <v>0.9</v>
      </c>
      <c r="U29" s="71">
        <v>5</v>
      </c>
      <c r="V29" s="71">
        <v>4.7</v>
      </c>
      <c r="W29" s="76">
        <v>2381</v>
      </c>
      <c r="X29" s="71">
        <v>100</v>
      </c>
    </row>
    <row r="30" spans="1:24" x14ac:dyDescent="0.3">
      <c r="A30" s="71" t="s">
        <v>45</v>
      </c>
      <c r="B30" s="76">
        <v>19</v>
      </c>
      <c r="C30" s="71">
        <v>4</v>
      </c>
      <c r="D30" s="71">
        <v>21.1</v>
      </c>
      <c r="E30" s="71">
        <v>0</v>
      </c>
      <c r="F30" s="71">
        <v>0</v>
      </c>
      <c r="G30" s="71">
        <v>0</v>
      </c>
      <c r="H30" s="71">
        <v>0</v>
      </c>
      <c r="I30" s="71">
        <v>2</v>
      </c>
      <c r="J30" s="71">
        <v>10.5</v>
      </c>
      <c r="K30" s="76">
        <v>13</v>
      </c>
      <c r="L30" s="71">
        <v>68.400000000000006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6">
        <v>823</v>
      </c>
      <c r="X30" s="71">
        <v>96.2</v>
      </c>
    </row>
    <row r="31" spans="1:24" x14ac:dyDescent="0.3">
      <c r="A31" s="71" t="s">
        <v>46</v>
      </c>
      <c r="B31" s="76">
        <v>31</v>
      </c>
      <c r="C31" s="71">
        <v>0</v>
      </c>
      <c r="D31" s="71">
        <v>0</v>
      </c>
      <c r="E31" s="71">
        <v>0</v>
      </c>
      <c r="F31" s="71">
        <v>0</v>
      </c>
      <c r="G31" s="71">
        <v>2</v>
      </c>
      <c r="H31" s="71">
        <v>6.5</v>
      </c>
      <c r="I31" s="71">
        <v>11</v>
      </c>
      <c r="J31" s="71">
        <v>35.5</v>
      </c>
      <c r="K31" s="76">
        <v>15</v>
      </c>
      <c r="L31" s="71">
        <v>48.4</v>
      </c>
      <c r="M31" s="71">
        <v>0</v>
      </c>
      <c r="N31" s="71">
        <v>0</v>
      </c>
      <c r="O31" s="71">
        <v>3</v>
      </c>
      <c r="P31" s="71">
        <v>9.6999999999999993</v>
      </c>
      <c r="Q31" s="71">
        <v>11</v>
      </c>
      <c r="R31" s="71">
        <v>35.5</v>
      </c>
      <c r="S31" s="71">
        <v>0</v>
      </c>
      <c r="T31" s="71">
        <v>0</v>
      </c>
      <c r="U31" s="71">
        <v>0</v>
      </c>
      <c r="V31" s="71">
        <v>0</v>
      </c>
      <c r="W31" s="76">
        <v>1055</v>
      </c>
      <c r="X31" s="71">
        <v>100</v>
      </c>
    </row>
    <row r="32" spans="1:24" x14ac:dyDescent="0.3">
      <c r="A32" s="71" t="s">
        <v>47</v>
      </c>
      <c r="B32" s="76">
        <v>5</v>
      </c>
      <c r="C32" s="71">
        <v>0</v>
      </c>
      <c r="D32" s="71">
        <v>0</v>
      </c>
      <c r="E32" s="71">
        <v>0</v>
      </c>
      <c r="F32" s="71">
        <v>0</v>
      </c>
      <c r="G32" s="71">
        <v>2</v>
      </c>
      <c r="H32" s="71">
        <v>40</v>
      </c>
      <c r="I32" s="71">
        <v>1</v>
      </c>
      <c r="J32" s="71">
        <v>20</v>
      </c>
      <c r="K32" s="76">
        <v>2</v>
      </c>
      <c r="L32" s="71">
        <v>40</v>
      </c>
      <c r="M32" s="71">
        <v>0</v>
      </c>
      <c r="N32" s="71">
        <v>0</v>
      </c>
      <c r="O32" s="71">
        <v>0</v>
      </c>
      <c r="P32" s="71">
        <v>0</v>
      </c>
      <c r="Q32" s="71">
        <v>2</v>
      </c>
      <c r="R32" s="71">
        <v>40</v>
      </c>
      <c r="S32" s="71">
        <v>0</v>
      </c>
      <c r="T32" s="71">
        <v>0</v>
      </c>
      <c r="U32" s="71">
        <v>2</v>
      </c>
      <c r="V32" s="71">
        <v>40</v>
      </c>
      <c r="W32" s="76">
        <v>704</v>
      </c>
      <c r="X32" s="71">
        <v>100</v>
      </c>
    </row>
    <row r="33" spans="1:24" x14ac:dyDescent="0.3">
      <c r="A33" s="71" t="s">
        <v>48</v>
      </c>
      <c r="B33" s="76">
        <v>13</v>
      </c>
      <c r="C33" s="71">
        <v>0</v>
      </c>
      <c r="D33" s="71">
        <v>0</v>
      </c>
      <c r="E33" s="71">
        <v>1</v>
      </c>
      <c r="F33" s="71">
        <v>7.7</v>
      </c>
      <c r="G33" s="71">
        <v>1</v>
      </c>
      <c r="H33" s="71">
        <v>7.7</v>
      </c>
      <c r="I33" s="71">
        <v>1</v>
      </c>
      <c r="J33" s="71">
        <v>7.7</v>
      </c>
      <c r="K33" s="76">
        <v>9</v>
      </c>
      <c r="L33" s="71">
        <v>69.2</v>
      </c>
      <c r="M33" s="71">
        <v>0</v>
      </c>
      <c r="N33" s="71">
        <v>0</v>
      </c>
      <c r="O33" s="71">
        <v>1</v>
      </c>
      <c r="P33" s="71">
        <v>7.7</v>
      </c>
      <c r="Q33" s="71">
        <v>1</v>
      </c>
      <c r="R33" s="71">
        <v>7.7</v>
      </c>
      <c r="S33" s="71">
        <v>2</v>
      </c>
      <c r="T33" s="71">
        <v>15.4</v>
      </c>
      <c r="U33" s="71">
        <v>0</v>
      </c>
      <c r="V33" s="71">
        <v>0</v>
      </c>
      <c r="W33" s="76">
        <v>491</v>
      </c>
      <c r="X33" s="71">
        <v>100</v>
      </c>
    </row>
    <row r="34" spans="1:24" x14ac:dyDescent="0.3">
      <c r="A34" s="71" t="s">
        <v>49</v>
      </c>
      <c r="B34" s="76">
        <v>247</v>
      </c>
      <c r="C34" s="71">
        <v>0</v>
      </c>
      <c r="D34" s="71">
        <v>0</v>
      </c>
      <c r="E34" s="71">
        <v>2</v>
      </c>
      <c r="F34" s="71">
        <v>0.8</v>
      </c>
      <c r="G34" s="71">
        <v>52</v>
      </c>
      <c r="H34" s="71">
        <v>21.1</v>
      </c>
      <c r="I34" s="71">
        <v>66</v>
      </c>
      <c r="J34" s="71">
        <v>26.7</v>
      </c>
      <c r="K34" s="76">
        <v>118</v>
      </c>
      <c r="L34" s="71">
        <v>47.8</v>
      </c>
      <c r="M34" s="71">
        <v>0</v>
      </c>
      <c r="N34" s="71">
        <v>0</v>
      </c>
      <c r="O34" s="71">
        <v>9</v>
      </c>
      <c r="P34" s="71">
        <v>3.6</v>
      </c>
      <c r="Q34" s="71">
        <v>52</v>
      </c>
      <c r="R34" s="71">
        <v>21.1</v>
      </c>
      <c r="S34" s="71">
        <v>3</v>
      </c>
      <c r="T34" s="71">
        <v>1.2</v>
      </c>
      <c r="U34" s="71">
        <v>0</v>
      </c>
      <c r="V34" s="71">
        <v>0</v>
      </c>
      <c r="W34" s="76">
        <v>2561</v>
      </c>
      <c r="X34" s="71">
        <v>100</v>
      </c>
    </row>
    <row r="35" spans="1:24" x14ac:dyDescent="0.3">
      <c r="A35" s="71" t="s">
        <v>50</v>
      </c>
      <c r="B35" s="76">
        <v>2</v>
      </c>
      <c r="C35" s="71">
        <v>0</v>
      </c>
      <c r="D35" s="71">
        <v>0</v>
      </c>
      <c r="E35" s="71">
        <v>0</v>
      </c>
      <c r="F35" s="71">
        <v>0</v>
      </c>
      <c r="G35" s="71">
        <v>2</v>
      </c>
      <c r="H35" s="71">
        <v>100</v>
      </c>
      <c r="I35" s="71">
        <v>0</v>
      </c>
      <c r="J35" s="71">
        <v>0</v>
      </c>
      <c r="K35" s="76">
        <v>0</v>
      </c>
      <c r="L35" s="71">
        <v>0</v>
      </c>
      <c r="M35" s="71">
        <v>0</v>
      </c>
      <c r="N35" s="71">
        <v>0</v>
      </c>
      <c r="O35" s="71">
        <v>0</v>
      </c>
      <c r="P35" s="71">
        <v>0</v>
      </c>
      <c r="Q35" s="71">
        <v>1</v>
      </c>
      <c r="R35" s="71">
        <v>50</v>
      </c>
      <c r="S35" s="71">
        <v>0</v>
      </c>
      <c r="T35" s="71">
        <v>0</v>
      </c>
      <c r="U35" s="71">
        <v>1</v>
      </c>
      <c r="V35" s="71">
        <v>50</v>
      </c>
      <c r="W35" s="76">
        <v>866</v>
      </c>
      <c r="X35" s="71">
        <v>100</v>
      </c>
    </row>
    <row r="36" spans="1:24" x14ac:dyDescent="0.3">
      <c r="A36" s="71" t="s">
        <v>51</v>
      </c>
      <c r="B36" s="76">
        <v>134</v>
      </c>
      <c r="C36" s="71">
        <v>0</v>
      </c>
      <c r="D36" s="71">
        <v>0</v>
      </c>
      <c r="E36" s="71">
        <v>1</v>
      </c>
      <c r="F36" s="71">
        <v>0.7</v>
      </c>
      <c r="G36" s="71">
        <v>10</v>
      </c>
      <c r="H36" s="71">
        <v>7.5</v>
      </c>
      <c r="I36" s="71">
        <v>22</v>
      </c>
      <c r="J36" s="71">
        <v>16.399999999999999</v>
      </c>
      <c r="K36" s="76">
        <v>97</v>
      </c>
      <c r="L36" s="71">
        <v>72.400000000000006</v>
      </c>
      <c r="M36" s="71">
        <v>0</v>
      </c>
      <c r="N36" s="71">
        <v>0</v>
      </c>
      <c r="O36" s="71">
        <v>4</v>
      </c>
      <c r="P36" s="71">
        <v>3</v>
      </c>
      <c r="Q36" s="71">
        <v>28</v>
      </c>
      <c r="R36" s="71">
        <v>20.9</v>
      </c>
      <c r="S36" s="71">
        <v>7</v>
      </c>
      <c r="T36" s="71">
        <v>5.2</v>
      </c>
      <c r="U36" s="71">
        <v>2</v>
      </c>
      <c r="V36" s="71">
        <v>1.5</v>
      </c>
      <c r="W36" s="76">
        <v>4873</v>
      </c>
      <c r="X36" s="71">
        <v>100</v>
      </c>
    </row>
    <row r="37" spans="1:24" x14ac:dyDescent="0.3">
      <c r="A37" s="71" t="s">
        <v>52</v>
      </c>
      <c r="B37" s="76">
        <v>13</v>
      </c>
      <c r="C37" s="71">
        <v>0</v>
      </c>
      <c r="D37" s="71">
        <v>0</v>
      </c>
      <c r="E37" s="71">
        <v>0</v>
      </c>
      <c r="F37" s="71">
        <v>0</v>
      </c>
      <c r="G37" s="71">
        <v>0</v>
      </c>
      <c r="H37" s="71">
        <v>0</v>
      </c>
      <c r="I37" s="71">
        <v>11</v>
      </c>
      <c r="J37" s="71">
        <v>84.6</v>
      </c>
      <c r="K37" s="76">
        <v>2</v>
      </c>
      <c r="L37" s="71">
        <v>15.4</v>
      </c>
      <c r="M37" s="71">
        <v>0</v>
      </c>
      <c r="N37" s="71">
        <v>0</v>
      </c>
      <c r="O37" s="71">
        <v>0</v>
      </c>
      <c r="P37" s="71">
        <v>0</v>
      </c>
      <c r="Q37" s="71">
        <v>2</v>
      </c>
      <c r="R37" s="71">
        <v>15.4</v>
      </c>
      <c r="S37" s="71">
        <v>0</v>
      </c>
      <c r="T37" s="71">
        <v>0</v>
      </c>
      <c r="U37" s="71">
        <v>0</v>
      </c>
      <c r="V37" s="71">
        <v>0</v>
      </c>
      <c r="W37" s="76">
        <v>2661</v>
      </c>
      <c r="X37" s="71">
        <v>100</v>
      </c>
    </row>
    <row r="38" spans="1:24" x14ac:dyDescent="0.3">
      <c r="A38" s="71" t="s">
        <v>53</v>
      </c>
      <c r="B38" s="76">
        <v>6</v>
      </c>
      <c r="C38" s="71">
        <v>0</v>
      </c>
      <c r="D38" s="71">
        <v>0</v>
      </c>
      <c r="E38" s="71">
        <v>0</v>
      </c>
      <c r="F38" s="71">
        <v>0</v>
      </c>
      <c r="G38" s="71">
        <v>0</v>
      </c>
      <c r="H38" s="71">
        <v>0</v>
      </c>
      <c r="I38" s="71">
        <v>0</v>
      </c>
      <c r="J38" s="71">
        <v>0</v>
      </c>
      <c r="K38" s="76">
        <v>6</v>
      </c>
      <c r="L38" s="71">
        <v>100</v>
      </c>
      <c r="M38" s="71">
        <v>0</v>
      </c>
      <c r="N38" s="71">
        <v>0</v>
      </c>
      <c r="O38" s="71">
        <v>0</v>
      </c>
      <c r="P38" s="71">
        <v>0</v>
      </c>
      <c r="Q38" s="71">
        <v>0</v>
      </c>
      <c r="R38" s="71">
        <v>0</v>
      </c>
      <c r="S38" s="71">
        <v>0</v>
      </c>
      <c r="T38" s="71">
        <v>0</v>
      </c>
      <c r="U38" s="71">
        <v>1</v>
      </c>
      <c r="V38" s="71">
        <v>16.7</v>
      </c>
      <c r="W38" s="76">
        <v>483</v>
      </c>
      <c r="X38" s="71">
        <v>100</v>
      </c>
    </row>
    <row r="39" spans="1:24" x14ac:dyDescent="0.3">
      <c r="A39" s="71" t="s">
        <v>54</v>
      </c>
      <c r="B39" s="76">
        <v>25</v>
      </c>
      <c r="C39" s="71">
        <v>0</v>
      </c>
      <c r="D39" s="71">
        <v>0</v>
      </c>
      <c r="E39" s="71">
        <v>0</v>
      </c>
      <c r="F39" s="71">
        <v>0</v>
      </c>
      <c r="G39" s="71">
        <v>0</v>
      </c>
      <c r="H39" s="71">
        <v>0</v>
      </c>
      <c r="I39" s="71">
        <v>12</v>
      </c>
      <c r="J39" s="71">
        <v>48</v>
      </c>
      <c r="K39" s="76">
        <v>13</v>
      </c>
      <c r="L39" s="71">
        <v>52</v>
      </c>
      <c r="M39" s="71">
        <v>0</v>
      </c>
      <c r="N39" s="71">
        <v>0</v>
      </c>
      <c r="O39" s="71">
        <v>0</v>
      </c>
      <c r="P39" s="71">
        <v>0</v>
      </c>
      <c r="Q39" s="71">
        <v>6</v>
      </c>
      <c r="R39" s="71">
        <v>24</v>
      </c>
      <c r="S39" s="71">
        <v>1</v>
      </c>
      <c r="T39" s="71">
        <v>4</v>
      </c>
      <c r="U39" s="71">
        <v>0</v>
      </c>
      <c r="V39" s="71">
        <v>0</v>
      </c>
      <c r="W39" s="76">
        <v>3593</v>
      </c>
      <c r="X39" s="71">
        <v>100</v>
      </c>
    </row>
    <row r="40" spans="1:24" x14ac:dyDescent="0.3">
      <c r="A40" s="71" t="s">
        <v>55</v>
      </c>
      <c r="B40" s="76">
        <v>34</v>
      </c>
      <c r="C40" s="71">
        <v>7</v>
      </c>
      <c r="D40" s="71">
        <v>20.6</v>
      </c>
      <c r="E40" s="71">
        <v>0</v>
      </c>
      <c r="F40" s="71">
        <v>0</v>
      </c>
      <c r="G40" s="71">
        <v>1</v>
      </c>
      <c r="H40" s="71">
        <v>2.9</v>
      </c>
      <c r="I40" s="71">
        <v>11</v>
      </c>
      <c r="J40" s="71">
        <v>32.4</v>
      </c>
      <c r="K40" s="76">
        <v>12</v>
      </c>
      <c r="L40" s="71">
        <v>35.299999999999997</v>
      </c>
      <c r="M40" s="71">
        <v>0</v>
      </c>
      <c r="N40" s="71">
        <v>0</v>
      </c>
      <c r="O40" s="71">
        <v>3</v>
      </c>
      <c r="P40" s="71">
        <v>8.8000000000000007</v>
      </c>
      <c r="Q40" s="71">
        <v>8</v>
      </c>
      <c r="R40" s="71">
        <v>23.5</v>
      </c>
      <c r="S40" s="71">
        <v>0</v>
      </c>
      <c r="T40" s="71">
        <v>0</v>
      </c>
      <c r="U40" s="71">
        <v>0</v>
      </c>
      <c r="V40" s="71">
        <v>0</v>
      </c>
      <c r="W40" s="76">
        <v>1816</v>
      </c>
      <c r="X40" s="71">
        <v>100</v>
      </c>
    </row>
    <row r="41" spans="1:24" x14ac:dyDescent="0.3">
      <c r="A41" s="71" t="s">
        <v>56</v>
      </c>
      <c r="B41" s="76">
        <v>183</v>
      </c>
      <c r="C41" s="71">
        <v>0</v>
      </c>
      <c r="D41" s="71">
        <v>0</v>
      </c>
      <c r="E41" s="71">
        <v>1</v>
      </c>
      <c r="F41" s="71">
        <v>0.5</v>
      </c>
      <c r="G41" s="71">
        <v>63</v>
      </c>
      <c r="H41" s="71">
        <v>34.4</v>
      </c>
      <c r="I41" s="71">
        <v>10</v>
      </c>
      <c r="J41" s="71">
        <v>5.5</v>
      </c>
      <c r="K41" s="76">
        <v>86</v>
      </c>
      <c r="L41" s="71">
        <v>47</v>
      </c>
      <c r="M41" s="71">
        <v>7</v>
      </c>
      <c r="N41" s="71">
        <v>3.8</v>
      </c>
      <c r="O41" s="71">
        <v>16</v>
      </c>
      <c r="P41" s="71">
        <v>8.6999999999999993</v>
      </c>
      <c r="Q41" s="71">
        <v>45</v>
      </c>
      <c r="R41" s="71">
        <v>24.6</v>
      </c>
      <c r="S41" s="71">
        <v>4</v>
      </c>
      <c r="T41" s="71">
        <v>2.2000000000000002</v>
      </c>
      <c r="U41" s="71">
        <v>28</v>
      </c>
      <c r="V41" s="71">
        <v>15.3</v>
      </c>
      <c r="W41" s="76">
        <v>1289</v>
      </c>
      <c r="X41" s="71">
        <v>100</v>
      </c>
    </row>
    <row r="42" spans="1:24" x14ac:dyDescent="0.3">
      <c r="A42" s="71" t="s">
        <v>57</v>
      </c>
      <c r="B42" s="76">
        <v>167</v>
      </c>
      <c r="C42" s="71">
        <v>1</v>
      </c>
      <c r="D42" s="71">
        <v>0.6</v>
      </c>
      <c r="E42" s="71">
        <v>1</v>
      </c>
      <c r="F42" s="71">
        <v>0.6</v>
      </c>
      <c r="G42" s="71">
        <v>65</v>
      </c>
      <c r="H42" s="71">
        <v>38.9</v>
      </c>
      <c r="I42" s="71">
        <v>39</v>
      </c>
      <c r="J42" s="71">
        <v>23.4</v>
      </c>
      <c r="K42" s="76">
        <v>52</v>
      </c>
      <c r="L42" s="71">
        <v>31.1</v>
      </c>
      <c r="M42" s="71">
        <v>1</v>
      </c>
      <c r="N42" s="71">
        <v>0.6</v>
      </c>
      <c r="O42" s="71">
        <v>8</v>
      </c>
      <c r="P42" s="71">
        <v>4.8</v>
      </c>
      <c r="Q42" s="71">
        <v>47</v>
      </c>
      <c r="R42" s="71">
        <v>28.1</v>
      </c>
      <c r="S42" s="71">
        <v>1</v>
      </c>
      <c r="T42" s="71">
        <v>0.6</v>
      </c>
      <c r="U42" s="71">
        <v>11</v>
      </c>
      <c r="V42" s="71">
        <v>6.6</v>
      </c>
      <c r="W42" s="76">
        <v>3006</v>
      </c>
      <c r="X42" s="71">
        <v>100</v>
      </c>
    </row>
    <row r="43" spans="1:24" x14ac:dyDescent="0.3">
      <c r="A43" s="71" t="s">
        <v>58</v>
      </c>
      <c r="B43" s="76">
        <v>2</v>
      </c>
      <c r="C43" s="71">
        <v>0</v>
      </c>
      <c r="D43" s="71">
        <v>0</v>
      </c>
      <c r="E43" s="71">
        <v>0</v>
      </c>
      <c r="F43" s="71">
        <v>0</v>
      </c>
      <c r="G43" s="71">
        <v>1</v>
      </c>
      <c r="H43" s="71">
        <v>50</v>
      </c>
      <c r="I43" s="71">
        <v>1</v>
      </c>
      <c r="J43" s="71">
        <v>50</v>
      </c>
      <c r="K43" s="76">
        <v>0</v>
      </c>
      <c r="L43" s="71">
        <v>0</v>
      </c>
      <c r="M43" s="71">
        <v>0</v>
      </c>
      <c r="N43" s="71">
        <v>0</v>
      </c>
      <c r="O43" s="71">
        <v>0</v>
      </c>
      <c r="P43" s="71">
        <v>0</v>
      </c>
      <c r="Q43" s="71">
        <v>0</v>
      </c>
      <c r="R43" s="71">
        <v>0</v>
      </c>
      <c r="S43" s="71">
        <v>0</v>
      </c>
      <c r="T43" s="71">
        <v>0</v>
      </c>
      <c r="U43" s="71">
        <v>0</v>
      </c>
      <c r="V43" s="71">
        <v>0</v>
      </c>
      <c r="W43" s="76">
        <v>312</v>
      </c>
      <c r="X43" s="71">
        <v>100</v>
      </c>
    </row>
    <row r="44" spans="1:24" x14ac:dyDescent="0.3">
      <c r="A44" s="71" t="s">
        <v>59</v>
      </c>
      <c r="B44" s="76">
        <v>65</v>
      </c>
      <c r="C44" s="71">
        <v>0</v>
      </c>
      <c r="D44" s="71">
        <v>0</v>
      </c>
      <c r="E44" s="71">
        <v>0</v>
      </c>
      <c r="F44" s="71">
        <v>0</v>
      </c>
      <c r="G44" s="71">
        <v>1</v>
      </c>
      <c r="H44" s="71">
        <v>1.5</v>
      </c>
      <c r="I44" s="71">
        <v>54</v>
      </c>
      <c r="J44" s="71">
        <v>83.1</v>
      </c>
      <c r="K44" s="76">
        <v>9</v>
      </c>
      <c r="L44" s="71">
        <v>13.8</v>
      </c>
      <c r="M44" s="71">
        <v>0</v>
      </c>
      <c r="N44" s="71">
        <v>0</v>
      </c>
      <c r="O44" s="71">
        <v>1</v>
      </c>
      <c r="P44" s="71">
        <v>1.5</v>
      </c>
      <c r="Q44" s="71">
        <v>10</v>
      </c>
      <c r="R44" s="71">
        <v>15.4</v>
      </c>
      <c r="S44" s="71">
        <v>2</v>
      </c>
      <c r="T44" s="71">
        <v>3.1</v>
      </c>
      <c r="U44" s="71">
        <v>0</v>
      </c>
      <c r="V44" s="71">
        <v>0</v>
      </c>
      <c r="W44" s="76">
        <v>1243</v>
      </c>
      <c r="X44" s="71">
        <v>100</v>
      </c>
    </row>
    <row r="45" spans="1:24" x14ac:dyDescent="0.3">
      <c r="A45" s="71" t="s">
        <v>60</v>
      </c>
      <c r="B45" s="76">
        <v>3</v>
      </c>
      <c r="C45" s="71">
        <v>1</v>
      </c>
      <c r="D45" s="71">
        <v>33.299999999999997</v>
      </c>
      <c r="E45" s="71">
        <v>0</v>
      </c>
      <c r="F45" s="71">
        <v>0</v>
      </c>
      <c r="G45" s="71">
        <v>0</v>
      </c>
      <c r="H45" s="71">
        <v>0</v>
      </c>
      <c r="I45" s="71">
        <v>0</v>
      </c>
      <c r="J45" s="71">
        <v>0</v>
      </c>
      <c r="K45" s="76">
        <v>2</v>
      </c>
      <c r="L45" s="71">
        <v>66.7</v>
      </c>
      <c r="M45" s="71">
        <v>0</v>
      </c>
      <c r="N45" s="71">
        <v>0</v>
      </c>
      <c r="O45" s="71">
        <v>0</v>
      </c>
      <c r="P45" s="71">
        <v>0</v>
      </c>
      <c r="Q45" s="71">
        <v>0</v>
      </c>
      <c r="R45" s="71">
        <v>0</v>
      </c>
      <c r="S45" s="71">
        <v>0</v>
      </c>
      <c r="T45" s="71">
        <v>0</v>
      </c>
      <c r="U45" s="71">
        <v>0</v>
      </c>
      <c r="V45" s="71">
        <v>0</v>
      </c>
      <c r="W45" s="76">
        <v>698</v>
      </c>
      <c r="X45" s="71">
        <v>100</v>
      </c>
    </row>
    <row r="46" spans="1:24" x14ac:dyDescent="0.3">
      <c r="A46" s="71" t="s">
        <v>61</v>
      </c>
      <c r="B46" s="76">
        <v>27</v>
      </c>
      <c r="C46" s="71">
        <v>0</v>
      </c>
      <c r="D46" s="71">
        <v>0</v>
      </c>
      <c r="E46" s="71">
        <v>0</v>
      </c>
      <c r="F46" s="71">
        <v>0</v>
      </c>
      <c r="G46" s="71">
        <v>4</v>
      </c>
      <c r="H46" s="71">
        <v>14.8</v>
      </c>
      <c r="I46" s="71">
        <v>6</v>
      </c>
      <c r="J46" s="71">
        <v>22.2</v>
      </c>
      <c r="K46" s="76">
        <v>17</v>
      </c>
      <c r="L46" s="71">
        <v>63</v>
      </c>
      <c r="M46" s="71">
        <v>0</v>
      </c>
      <c r="N46" s="71">
        <v>0</v>
      </c>
      <c r="O46" s="71">
        <v>0</v>
      </c>
      <c r="P46" s="71">
        <v>0</v>
      </c>
      <c r="Q46" s="71">
        <v>4</v>
      </c>
      <c r="R46" s="71">
        <v>14.8</v>
      </c>
      <c r="S46" s="71">
        <v>0</v>
      </c>
      <c r="T46" s="71">
        <v>0</v>
      </c>
      <c r="U46" s="71">
        <v>0</v>
      </c>
      <c r="V46" s="71">
        <v>0</v>
      </c>
      <c r="W46" s="76">
        <v>1777</v>
      </c>
      <c r="X46" s="71">
        <v>100</v>
      </c>
    </row>
    <row r="47" spans="1:24" x14ac:dyDescent="0.3">
      <c r="A47" s="71" t="s">
        <v>62</v>
      </c>
      <c r="B47" s="76">
        <v>80</v>
      </c>
      <c r="C47" s="71">
        <v>1</v>
      </c>
      <c r="D47" s="71">
        <v>1.3</v>
      </c>
      <c r="E47" s="71">
        <v>1</v>
      </c>
      <c r="F47" s="71">
        <v>1.3</v>
      </c>
      <c r="G47" s="71">
        <v>39</v>
      </c>
      <c r="H47" s="71">
        <v>48.8</v>
      </c>
      <c r="I47" s="71">
        <v>27</v>
      </c>
      <c r="J47" s="71">
        <v>33.799999999999997</v>
      </c>
      <c r="K47" s="76">
        <v>9</v>
      </c>
      <c r="L47" s="71">
        <v>11.3</v>
      </c>
      <c r="M47" s="71">
        <v>0</v>
      </c>
      <c r="N47" s="71">
        <v>0</v>
      </c>
      <c r="O47" s="71">
        <v>3</v>
      </c>
      <c r="P47" s="71">
        <v>3.8</v>
      </c>
      <c r="Q47" s="71">
        <v>8</v>
      </c>
      <c r="R47" s="71">
        <v>10</v>
      </c>
      <c r="S47" s="71">
        <v>12</v>
      </c>
      <c r="T47" s="71">
        <v>15</v>
      </c>
      <c r="U47" s="71">
        <v>16</v>
      </c>
      <c r="V47" s="71">
        <v>20</v>
      </c>
      <c r="W47" s="76">
        <v>8758</v>
      </c>
      <c r="X47" s="71">
        <v>100</v>
      </c>
    </row>
    <row r="48" spans="1:24" x14ac:dyDescent="0.3">
      <c r="A48" s="71" t="s">
        <v>63</v>
      </c>
      <c r="B48" s="76">
        <v>61</v>
      </c>
      <c r="C48" s="71">
        <v>2</v>
      </c>
      <c r="D48" s="71">
        <v>3.3</v>
      </c>
      <c r="E48" s="71">
        <v>0</v>
      </c>
      <c r="F48" s="71">
        <v>0</v>
      </c>
      <c r="G48" s="71">
        <v>18</v>
      </c>
      <c r="H48" s="71">
        <v>29.5</v>
      </c>
      <c r="I48" s="71">
        <v>0</v>
      </c>
      <c r="J48" s="71">
        <v>0</v>
      </c>
      <c r="K48" s="76">
        <v>38</v>
      </c>
      <c r="L48" s="71">
        <v>62.3</v>
      </c>
      <c r="M48" s="71">
        <v>2</v>
      </c>
      <c r="N48" s="71">
        <v>3.3</v>
      </c>
      <c r="O48" s="71">
        <v>1</v>
      </c>
      <c r="P48" s="71">
        <v>1.6</v>
      </c>
      <c r="Q48" s="71">
        <v>12</v>
      </c>
      <c r="R48" s="71">
        <v>19.7</v>
      </c>
      <c r="S48" s="71">
        <v>0</v>
      </c>
      <c r="T48" s="71">
        <v>0</v>
      </c>
      <c r="U48" s="71">
        <v>5</v>
      </c>
      <c r="V48" s="71">
        <v>8.1999999999999993</v>
      </c>
      <c r="W48" s="76">
        <v>1029</v>
      </c>
      <c r="X48" s="71">
        <v>100</v>
      </c>
    </row>
    <row r="49" spans="1:24" x14ac:dyDescent="0.3">
      <c r="A49" s="71" t="s">
        <v>64</v>
      </c>
      <c r="B49" s="76">
        <v>16</v>
      </c>
      <c r="C49" s="71">
        <v>0</v>
      </c>
      <c r="D49" s="71">
        <v>0</v>
      </c>
      <c r="E49" s="71">
        <v>0</v>
      </c>
      <c r="F49" s="71">
        <v>0</v>
      </c>
      <c r="G49" s="71">
        <v>0</v>
      </c>
      <c r="H49" s="71">
        <v>0</v>
      </c>
      <c r="I49" s="71">
        <v>1</v>
      </c>
      <c r="J49" s="71">
        <v>6.3</v>
      </c>
      <c r="K49" s="76">
        <v>15</v>
      </c>
      <c r="L49" s="71">
        <v>93.8</v>
      </c>
      <c r="M49" s="71">
        <v>0</v>
      </c>
      <c r="N49" s="71">
        <v>0</v>
      </c>
      <c r="O49" s="71">
        <v>0</v>
      </c>
      <c r="P49" s="71">
        <v>0</v>
      </c>
      <c r="Q49" s="71">
        <v>2</v>
      </c>
      <c r="R49" s="71">
        <v>12.5</v>
      </c>
      <c r="S49" s="71">
        <v>1</v>
      </c>
      <c r="T49" s="71">
        <v>6.3</v>
      </c>
      <c r="U49" s="71">
        <v>0</v>
      </c>
      <c r="V49" s="71">
        <v>0</v>
      </c>
      <c r="W49" s="76">
        <v>302</v>
      </c>
      <c r="X49" s="71">
        <v>100</v>
      </c>
    </row>
    <row r="50" spans="1:24" x14ac:dyDescent="0.3">
      <c r="A50" s="71" t="s">
        <v>65</v>
      </c>
      <c r="B50" s="76">
        <v>61</v>
      </c>
      <c r="C50" s="71">
        <v>0</v>
      </c>
      <c r="D50" s="71">
        <v>0</v>
      </c>
      <c r="E50" s="71">
        <v>0</v>
      </c>
      <c r="F50" s="71">
        <v>0</v>
      </c>
      <c r="G50" s="71">
        <v>7</v>
      </c>
      <c r="H50" s="71">
        <v>11.5</v>
      </c>
      <c r="I50" s="71">
        <v>44</v>
      </c>
      <c r="J50" s="71">
        <v>72.099999999999994</v>
      </c>
      <c r="K50" s="76">
        <v>7</v>
      </c>
      <c r="L50" s="71">
        <v>11.5</v>
      </c>
      <c r="M50" s="71">
        <v>0</v>
      </c>
      <c r="N50" s="71">
        <v>0</v>
      </c>
      <c r="O50" s="71">
        <v>3</v>
      </c>
      <c r="P50" s="71">
        <v>4.9000000000000004</v>
      </c>
      <c r="Q50" s="71">
        <v>13</v>
      </c>
      <c r="R50" s="71">
        <v>21.3</v>
      </c>
      <c r="S50" s="71">
        <v>1</v>
      </c>
      <c r="T50" s="71">
        <v>1.6</v>
      </c>
      <c r="U50" s="71">
        <v>4</v>
      </c>
      <c r="V50" s="71">
        <v>6.6</v>
      </c>
      <c r="W50" s="76">
        <v>1982</v>
      </c>
      <c r="X50" s="71">
        <v>98.4</v>
      </c>
    </row>
    <row r="51" spans="1:24" x14ac:dyDescent="0.3">
      <c r="A51" s="71" t="s">
        <v>66</v>
      </c>
      <c r="B51" s="76">
        <v>58</v>
      </c>
      <c r="C51" s="71">
        <v>3</v>
      </c>
      <c r="D51" s="71">
        <v>5.2</v>
      </c>
      <c r="E51" s="71">
        <v>1</v>
      </c>
      <c r="F51" s="71">
        <v>1.7</v>
      </c>
      <c r="G51" s="71">
        <v>10</v>
      </c>
      <c r="H51" s="71">
        <v>17.2</v>
      </c>
      <c r="I51" s="71">
        <v>8</v>
      </c>
      <c r="J51" s="71">
        <v>13.8</v>
      </c>
      <c r="K51" s="76">
        <v>30</v>
      </c>
      <c r="L51" s="71">
        <v>51.7</v>
      </c>
      <c r="M51" s="71">
        <v>2</v>
      </c>
      <c r="N51" s="71">
        <v>3.4</v>
      </c>
      <c r="O51" s="71">
        <v>4</v>
      </c>
      <c r="P51" s="71">
        <v>6.9</v>
      </c>
      <c r="Q51" s="71">
        <v>16</v>
      </c>
      <c r="R51" s="71">
        <v>27.6</v>
      </c>
      <c r="S51" s="71">
        <v>1</v>
      </c>
      <c r="T51" s="71">
        <v>1.7</v>
      </c>
      <c r="U51" s="71">
        <v>5</v>
      </c>
      <c r="V51" s="71">
        <v>8.6</v>
      </c>
      <c r="W51" s="76">
        <v>2339</v>
      </c>
      <c r="X51" s="71">
        <v>100</v>
      </c>
    </row>
    <row r="52" spans="1:24" x14ac:dyDescent="0.3">
      <c r="A52" s="71" t="s">
        <v>67</v>
      </c>
      <c r="B52" s="76">
        <v>5</v>
      </c>
      <c r="C52" s="71">
        <v>0</v>
      </c>
      <c r="D52" s="71">
        <v>0</v>
      </c>
      <c r="E52" s="71">
        <v>0</v>
      </c>
      <c r="F52" s="71">
        <v>0</v>
      </c>
      <c r="G52" s="71">
        <v>0</v>
      </c>
      <c r="H52" s="71">
        <v>0</v>
      </c>
      <c r="I52" s="71">
        <v>1</v>
      </c>
      <c r="J52" s="71">
        <v>20</v>
      </c>
      <c r="K52" s="76">
        <v>4</v>
      </c>
      <c r="L52" s="71">
        <v>80</v>
      </c>
      <c r="M52" s="71">
        <v>0</v>
      </c>
      <c r="N52" s="71">
        <v>0</v>
      </c>
      <c r="O52" s="71">
        <v>0</v>
      </c>
      <c r="P52" s="71">
        <v>0</v>
      </c>
      <c r="Q52" s="71">
        <v>1</v>
      </c>
      <c r="R52" s="71">
        <v>20</v>
      </c>
      <c r="S52" s="71">
        <v>0</v>
      </c>
      <c r="T52" s="71">
        <v>0</v>
      </c>
      <c r="U52" s="71">
        <v>0</v>
      </c>
      <c r="V52" s="71">
        <v>0</v>
      </c>
      <c r="W52" s="76">
        <v>691</v>
      </c>
      <c r="X52" s="71">
        <v>100</v>
      </c>
    </row>
    <row r="53" spans="1:24" x14ac:dyDescent="0.3">
      <c r="A53" s="71" t="s">
        <v>68</v>
      </c>
      <c r="B53" s="76">
        <v>66</v>
      </c>
      <c r="C53" s="71">
        <v>1</v>
      </c>
      <c r="D53" s="71">
        <v>1.5</v>
      </c>
      <c r="E53" s="71">
        <v>0</v>
      </c>
      <c r="F53" s="71">
        <v>0</v>
      </c>
      <c r="G53" s="71">
        <v>8</v>
      </c>
      <c r="H53" s="71">
        <v>12.1</v>
      </c>
      <c r="I53" s="71">
        <v>10</v>
      </c>
      <c r="J53" s="71">
        <v>15.2</v>
      </c>
      <c r="K53" s="76">
        <v>46</v>
      </c>
      <c r="L53" s="71">
        <v>69.7</v>
      </c>
      <c r="M53" s="71">
        <v>0</v>
      </c>
      <c r="N53" s="71">
        <v>0</v>
      </c>
      <c r="O53" s="71">
        <v>1</v>
      </c>
      <c r="P53" s="71">
        <v>1.5</v>
      </c>
      <c r="Q53" s="71">
        <v>17</v>
      </c>
      <c r="R53" s="71">
        <v>25.8</v>
      </c>
      <c r="S53" s="71">
        <v>0</v>
      </c>
      <c r="T53" s="71">
        <v>0</v>
      </c>
      <c r="U53" s="71">
        <v>0</v>
      </c>
      <c r="V53" s="71">
        <v>0</v>
      </c>
      <c r="W53" s="76">
        <v>2235</v>
      </c>
      <c r="X53" s="71">
        <v>100</v>
      </c>
    </row>
    <row r="54" spans="1:24" x14ac:dyDescent="0.3">
      <c r="A54" s="71" t="s">
        <v>69</v>
      </c>
      <c r="B54" s="76">
        <v>6</v>
      </c>
      <c r="C54" s="71">
        <v>0</v>
      </c>
      <c r="D54" s="71">
        <v>0</v>
      </c>
      <c r="E54" s="71">
        <v>1</v>
      </c>
      <c r="F54" s="71">
        <v>16.7</v>
      </c>
      <c r="G54" s="71">
        <v>0</v>
      </c>
      <c r="H54" s="71">
        <v>0</v>
      </c>
      <c r="I54" s="71">
        <v>0</v>
      </c>
      <c r="J54" s="71">
        <v>0</v>
      </c>
      <c r="K54" s="76">
        <v>5</v>
      </c>
      <c r="L54" s="71">
        <v>83.3</v>
      </c>
      <c r="M54" s="71">
        <v>0</v>
      </c>
      <c r="N54" s="71">
        <v>0</v>
      </c>
      <c r="O54" s="71">
        <v>0</v>
      </c>
      <c r="P54" s="71">
        <v>0</v>
      </c>
      <c r="Q54" s="71">
        <v>0</v>
      </c>
      <c r="R54" s="71">
        <v>0</v>
      </c>
      <c r="S54" s="71">
        <v>0</v>
      </c>
      <c r="T54" s="71">
        <v>0</v>
      </c>
      <c r="U54" s="71">
        <v>0</v>
      </c>
      <c r="V54" s="71">
        <v>0</v>
      </c>
      <c r="W54" s="76">
        <v>366</v>
      </c>
      <c r="X54" s="71">
        <v>100</v>
      </c>
    </row>
    <row r="55" spans="1:24" x14ac:dyDescent="0.3">
      <c r="A55" s="71" t="s">
        <v>71</v>
      </c>
      <c r="B55" s="76">
        <v>0</v>
      </c>
      <c r="C55" s="71">
        <v>0</v>
      </c>
      <c r="D55" s="71">
        <v>0</v>
      </c>
      <c r="E55" s="71">
        <v>0</v>
      </c>
      <c r="F55" s="71">
        <v>0</v>
      </c>
      <c r="G55" s="71">
        <v>0</v>
      </c>
      <c r="H55" s="71">
        <v>0</v>
      </c>
      <c r="I55" s="71">
        <v>0</v>
      </c>
      <c r="J55" s="71">
        <v>0</v>
      </c>
      <c r="K55" s="76">
        <v>0</v>
      </c>
      <c r="L55" s="71">
        <v>0</v>
      </c>
      <c r="M55" s="71">
        <v>0</v>
      </c>
      <c r="N55" s="71">
        <v>0</v>
      </c>
      <c r="O55" s="71">
        <v>0</v>
      </c>
      <c r="P55" s="71">
        <v>0</v>
      </c>
      <c r="Q55" s="71">
        <v>0</v>
      </c>
      <c r="R55" s="71">
        <v>0</v>
      </c>
      <c r="S55" s="71">
        <v>0</v>
      </c>
      <c r="T55" s="71">
        <v>0</v>
      </c>
      <c r="U55" s="71">
        <v>0</v>
      </c>
      <c r="V55" s="71">
        <v>0</v>
      </c>
      <c r="W55" s="76">
        <v>1099</v>
      </c>
      <c r="X55" s="71">
        <v>100</v>
      </c>
    </row>
    <row r="57" spans="1:24" x14ac:dyDescent="0.3">
      <c r="J57" s="76"/>
      <c r="K57" s="71"/>
      <c r="V57" s="76"/>
      <c r="W57" s="71"/>
    </row>
    <row r="58" spans="1:24" x14ac:dyDescent="0.3">
      <c r="J58" s="76"/>
      <c r="K58" s="71"/>
      <c r="V58" s="76"/>
      <c r="W58" s="71"/>
    </row>
    <row r="59" spans="1:24" x14ac:dyDescent="0.3">
      <c r="J59" s="76"/>
      <c r="K59" s="71"/>
      <c r="V59" s="76"/>
      <c r="W59" s="7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C8025-6578-475B-A283-1FCA5428F76D}">
  <dimension ref="A1:X58"/>
  <sheetViews>
    <sheetView tabSelected="1" zoomScale="35" zoomScaleNormal="35" workbookViewId="0">
      <selection activeCell="A56" sqref="A56:XFD56"/>
    </sheetView>
  </sheetViews>
  <sheetFormatPr defaultRowHeight="14" x14ac:dyDescent="0.3"/>
  <cols>
    <col min="1" max="1" width="40.6640625" style="71" bestFit="1" customWidth="1"/>
    <col min="2" max="2" width="19.21875" style="76" customWidth="1"/>
    <col min="3" max="3" width="13.33203125" style="76" customWidth="1"/>
    <col min="4" max="4" width="43.33203125" style="71" customWidth="1"/>
    <col min="5" max="5" width="9.6640625" style="71" customWidth="1"/>
    <col min="6" max="6" width="12.33203125" style="71" customWidth="1"/>
    <col min="7" max="7" width="36.109375" style="76" customWidth="1"/>
    <col min="8" max="8" width="38.77734375" style="71" customWidth="1"/>
    <col min="9" max="9" width="32.77734375" style="76" customWidth="1"/>
    <col min="10" max="10" width="35.44140625" style="71" customWidth="1"/>
    <col min="11" max="11" width="10.21875" style="76" customWidth="1"/>
    <col min="12" max="12" width="12.88671875" style="71" customWidth="1"/>
    <col min="13" max="13" width="48.6640625" style="71" customWidth="1"/>
    <col min="14" max="14" width="51.33203125" style="71" customWidth="1"/>
    <col min="15" max="15" width="23.44140625" style="71" customWidth="1"/>
    <col min="16" max="16" width="26.77734375" style="71" customWidth="1"/>
    <col min="17" max="17" width="54" style="76" customWidth="1"/>
    <col min="18" max="18" width="56.44140625" style="71" customWidth="1"/>
    <col min="19" max="19" width="66.33203125" style="71" customWidth="1"/>
    <col min="20" max="20" width="69" style="71" customWidth="1"/>
    <col min="21" max="21" width="33.33203125" style="71" customWidth="1"/>
    <col min="22" max="22" width="36" style="71" customWidth="1"/>
    <col min="23" max="23" width="23.77734375" style="76" customWidth="1"/>
    <col min="24" max="24" width="36.5546875" style="71" customWidth="1"/>
    <col min="25" max="16384" width="8.88671875" style="71"/>
  </cols>
  <sheetData>
    <row r="1" spans="1:24" s="72" customFormat="1" ht="15" x14ac:dyDescent="0.3">
      <c r="A1" s="73" t="s">
        <v>81</v>
      </c>
      <c r="B1" s="79"/>
      <c r="C1" s="79"/>
      <c r="G1" s="79"/>
      <c r="I1" s="79"/>
      <c r="K1" s="79"/>
      <c r="Q1" s="79"/>
      <c r="W1" s="79"/>
    </row>
    <row r="2" spans="1:24" s="74" customFormat="1" ht="56" x14ac:dyDescent="0.3">
      <c r="A2" s="74" t="s">
        <v>0</v>
      </c>
      <c r="B2" s="77" t="s">
        <v>1</v>
      </c>
      <c r="C2" s="77" t="s">
        <v>103</v>
      </c>
      <c r="D2" s="74" t="s">
        <v>82</v>
      </c>
      <c r="E2" s="74" t="s">
        <v>8</v>
      </c>
      <c r="F2" s="74" t="s">
        <v>78</v>
      </c>
      <c r="G2" s="77" t="s">
        <v>9</v>
      </c>
      <c r="H2" s="74" t="s">
        <v>79</v>
      </c>
      <c r="I2" s="77" t="s">
        <v>10</v>
      </c>
      <c r="J2" s="74" t="s">
        <v>89</v>
      </c>
      <c r="K2" s="77" t="s">
        <v>11</v>
      </c>
      <c r="L2" s="74" t="s">
        <v>80</v>
      </c>
      <c r="M2" s="74" t="s">
        <v>12</v>
      </c>
      <c r="N2" s="74" t="s">
        <v>83</v>
      </c>
      <c r="O2" s="74" t="s">
        <v>13</v>
      </c>
      <c r="P2" s="74" t="s">
        <v>84</v>
      </c>
      <c r="Q2" s="77" t="s">
        <v>2</v>
      </c>
      <c r="R2" s="74" t="s">
        <v>85</v>
      </c>
      <c r="S2" s="74" t="s">
        <v>3</v>
      </c>
      <c r="T2" s="74" t="s">
        <v>86</v>
      </c>
      <c r="U2" s="74" t="s">
        <v>4</v>
      </c>
      <c r="V2" s="74" t="s">
        <v>87</v>
      </c>
      <c r="W2" s="77" t="s">
        <v>5</v>
      </c>
      <c r="X2" s="74" t="s">
        <v>88</v>
      </c>
    </row>
    <row r="3" spans="1:24" x14ac:dyDescent="0.3">
      <c r="A3" s="71" t="s">
        <v>72</v>
      </c>
      <c r="B3" s="76">
        <v>12214</v>
      </c>
      <c r="C3" s="76">
        <v>198</v>
      </c>
      <c r="D3" s="71">
        <v>1.7</v>
      </c>
      <c r="E3" s="71">
        <v>191</v>
      </c>
      <c r="F3" s="71">
        <v>1.5</v>
      </c>
      <c r="G3" s="76">
        <v>2669</v>
      </c>
      <c r="H3" s="71">
        <v>21.9</v>
      </c>
      <c r="I3" s="76">
        <v>2670</v>
      </c>
      <c r="J3" s="71">
        <v>21.8</v>
      </c>
      <c r="K3" s="76">
        <v>5944</v>
      </c>
      <c r="L3" s="71">
        <v>48.7</v>
      </c>
      <c r="M3" s="71">
        <v>71</v>
      </c>
      <c r="N3" s="71">
        <v>0.6</v>
      </c>
      <c r="O3" s="71">
        <v>471</v>
      </c>
      <c r="P3" s="71">
        <v>3.9</v>
      </c>
      <c r="Q3" s="76">
        <v>2931</v>
      </c>
      <c r="R3" s="71">
        <v>24</v>
      </c>
      <c r="S3" s="71">
        <v>385</v>
      </c>
      <c r="T3" s="71">
        <v>3.1</v>
      </c>
      <c r="U3" s="71">
        <v>882</v>
      </c>
      <c r="V3" s="71">
        <v>7.3</v>
      </c>
      <c r="W3" s="76">
        <v>97632</v>
      </c>
      <c r="X3" s="71">
        <v>99.2</v>
      </c>
    </row>
    <row r="4" spans="1:24" x14ac:dyDescent="0.3">
      <c r="A4" s="71" t="s">
        <v>19</v>
      </c>
      <c r="B4" s="76">
        <v>105</v>
      </c>
      <c r="C4" s="76">
        <v>0</v>
      </c>
      <c r="D4" s="71">
        <v>0</v>
      </c>
      <c r="E4" s="71">
        <v>2</v>
      </c>
      <c r="F4" s="71">
        <v>1.9</v>
      </c>
      <c r="G4" s="76">
        <v>3</v>
      </c>
      <c r="H4" s="71">
        <v>2.9</v>
      </c>
      <c r="I4" s="76">
        <v>50</v>
      </c>
      <c r="J4" s="71">
        <v>47.7</v>
      </c>
      <c r="K4" s="76">
        <v>47</v>
      </c>
      <c r="L4" s="71">
        <v>44.8</v>
      </c>
      <c r="M4" s="71">
        <v>0</v>
      </c>
      <c r="N4" s="71">
        <v>0</v>
      </c>
      <c r="O4" s="71">
        <v>3</v>
      </c>
      <c r="P4" s="71">
        <v>2.9</v>
      </c>
      <c r="Q4" s="76">
        <v>18</v>
      </c>
      <c r="R4" s="71">
        <v>17.2</v>
      </c>
      <c r="S4" s="71">
        <v>2</v>
      </c>
      <c r="T4" s="71">
        <v>1.9</v>
      </c>
      <c r="U4" s="71">
        <v>0</v>
      </c>
      <c r="V4" s="71">
        <v>0</v>
      </c>
      <c r="W4" s="76">
        <v>1390</v>
      </c>
      <c r="X4" s="71">
        <v>94</v>
      </c>
    </row>
    <row r="5" spans="1:24" x14ac:dyDescent="0.3">
      <c r="A5" s="71" t="s">
        <v>20</v>
      </c>
      <c r="B5" s="76">
        <v>38</v>
      </c>
      <c r="C5" s="76">
        <v>14</v>
      </c>
      <c r="D5" s="71">
        <v>36.799999999999997</v>
      </c>
      <c r="E5" s="71">
        <v>9</v>
      </c>
      <c r="F5" s="71">
        <v>23.7</v>
      </c>
      <c r="G5" s="76">
        <v>12</v>
      </c>
      <c r="H5" s="71">
        <v>31.6</v>
      </c>
      <c r="I5" s="76">
        <v>1</v>
      </c>
      <c r="J5" s="71">
        <v>2.7</v>
      </c>
      <c r="K5" s="76">
        <v>0</v>
      </c>
      <c r="L5" s="71">
        <v>0</v>
      </c>
      <c r="M5" s="71">
        <v>2</v>
      </c>
      <c r="N5" s="71">
        <v>5.3</v>
      </c>
      <c r="O5" s="71">
        <v>0</v>
      </c>
      <c r="P5" s="71">
        <v>0</v>
      </c>
      <c r="Q5" s="76">
        <v>2</v>
      </c>
      <c r="R5" s="71">
        <v>5.3</v>
      </c>
      <c r="S5" s="71">
        <v>1</v>
      </c>
      <c r="T5" s="71">
        <v>2.6</v>
      </c>
      <c r="U5" s="71">
        <v>5</v>
      </c>
      <c r="V5" s="71">
        <v>13.2</v>
      </c>
      <c r="W5" s="76">
        <v>506</v>
      </c>
      <c r="X5" s="71">
        <v>100</v>
      </c>
    </row>
    <row r="6" spans="1:24" x14ac:dyDescent="0.3">
      <c r="A6" s="71" t="s">
        <v>21</v>
      </c>
      <c r="B6" s="76">
        <v>369</v>
      </c>
      <c r="C6" s="76">
        <v>24</v>
      </c>
      <c r="D6" s="71">
        <v>6.5</v>
      </c>
      <c r="E6" s="71">
        <v>2</v>
      </c>
      <c r="F6" s="71">
        <v>0.6</v>
      </c>
      <c r="G6" s="76">
        <v>142</v>
      </c>
      <c r="H6" s="71">
        <v>38.5</v>
      </c>
      <c r="I6" s="76">
        <v>50</v>
      </c>
      <c r="J6" s="71">
        <v>13.6</v>
      </c>
      <c r="K6" s="76">
        <v>143</v>
      </c>
      <c r="L6" s="71">
        <v>38.799999999999997</v>
      </c>
      <c r="M6" s="71">
        <v>1</v>
      </c>
      <c r="N6" s="71">
        <v>0.3</v>
      </c>
      <c r="O6" s="71">
        <v>7</v>
      </c>
      <c r="P6" s="71">
        <v>1.9</v>
      </c>
      <c r="Q6" s="76">
        <v>61</v>
      </c>
      <c r="R6" s="71">
        <v>16.600000000000001</v>
      </c>
      <c r="S6" s="71">
        <v>12</v>
      </c>
      <c r="T6" s="71">
        <v>3.2</v>
      </c>
      <c r="U6" s="71">
        <v>11</v>
      </c>
      <c r="V6" s="71">
        <v>3</v>
      </c>
      <c r="W6" s="76">
        <v>2000</v>
      </c>
      <c r="X6" s="71">
        <v>100</v>
      </c>
    </row>
    <row r="7" spans="1:24" x14ac:dyDescent="0.3">
      <c r="A7" s="71" t="s">
        <v>22</v>
      </c>
      <c r="B7" s="76">
        <v>97</v>
      </c>
      <c r="C7" s="76">
        <v>0</v>
      </c>
      <c r="D7" s="71">
        <v>0</v>
      </c>
      <c r="E7" s="71">
        <v>0</v>
      </c>
      <c r="F7" s="71">
        <v>0</v>
      </c>
      <c r="G7" s="76">
        <v>6</v>
      </c>
      <c r="H7" s="71">
        <v>6.2</v>
      </c>
      <c r="I7" s="76">
        <v>26</v>
      </c>
      <c r="J7" s="71">
        <v>26.8</v>
      </c>
      <c r="K7" s="76">
        <v>61</v>
      </c>
      <c r="L7" s="71">
        <v>62.9</v>
      </c>
      <c r="M7" s="71">
        <v>0</v>
      </c>
      <c r="N7" s="71">
        <v>0</v>
      </c>
      <c r="O7" s="71">
        <v>4</v>
      </c>
      <c r="P7" s="71">
        <v>4.0999999999999996</v>
      </c>
      <c r="Q7" s="76">
        <v>24</v>
      </c>
      <c r="R7" s="71">
        <v>24.7</v>
      </c>
      <c r="S7" s="71">
        <v>3</v>
      </c>
      <c r="T7" s="71">
        <v>3.1</v>
      </c>
      <c r="U7" s="71">
        <v>4</v>
      </c>
      <c r="V7" s="71">
        <v>4.2</v>
      </c>
      <c r="W7" s="76">
        <v>1088</v>
      </c>
      <c r="X7" s="71">
        <v>100</v>
      </c>
    </row>
    <row r="8" spans="1:24" x14ac:dyDescent="0.3">
      <c r="A8" s="71" t="s">
        <v>23</v>
      </c>
      <c r="B8" s="76">
        <v>1356</v>
      </c>
      <c r="C8" s="76">
        <v>17</v>
      </c>
      <c r="D8" s="71">
        <v>1.3</v>
      </c>
      <c r="E8" s="71">
        <v>38</v>
      </c>
      <c r="F8" s="71">
        <v>2.8</v>
      </c>
      <c r="G8" s="76">
        <v>709</v>
      </c>
      <c r="H8" s="71">
        <v>52.3</v>
      </c>
      <c r="I8" s="76">
        <v>210</v>
      </c>
      <c r="J8" s="71">
        <v>15.5</v>
      </c>
      <c r="K8" s="76">
        <v>318</v>
      </c>
      <c r="L8" s="71">
        <v>23.5</v>
      </c>
      <c r="M8" s="71">
        <v>8</v>
      </c>
      <c r="N8" s="71">
        <v>0.6</v>
      </c>
      <c r="O8" s="71">
        <v>56</v>
      </c>
      <c r="P8" s="71">
        <v>4.2</v>
      </c>
      <c r="Q8" s="76">
        <v>246</v>
      </c>
      <c r="R8" s="71">
        <v>18.100000000000001</v>
      </c>
      <c r="S8" s="71">
        <v>27</v>
      </c>
      <c r="T8" s="71">
        <v>2</v>
      </c>
      <c r="U8" s="71">
        <v>239</v>
      </c>
      <c r="V8" s="71">
        <v>17.600000000000001</v>
      </c>
      <c r="W8" s="76">
        <v>10121</v>
      </c>
      <c r="X8" s="71">
        <v>99.2</v>
      </c>
    </row>
    <row r="9" spans="1:24" x14ac:dyDescent="0.3">
      <c r="A9" s="71" t="s">
        <v>24</v>
      </c>
      <c r="B9" s="76">
        <v>53</v>
      </c>
      <c r="C9" s="76">
        <v>0</v>
      </c>
      <c r="D9" s="71">
        <v>0</v>
      </c>
      <c r="E9" s="71">
        <v>0</v>
      </c>
      <c r="F9" s="71">
        <v>0</v>
      </c>
      <c r="G9" s="76">
        <v>15</v>
      </c>
      <c r="H9" s="71">
        <v>28.3</v>
      </c>
      <c r="I9" s="76">
        <v>1</v>
      </c>
      <c r="J9" s="71">
        <v>1.9</v>
      </c>
      <c r="K9" s="76">
        <v>35</v>
      </c>
      <c r="L9" s="71">
        <v>66</v>
      </c>
      <c r="M9" s="71">
        <v>0</v>
      </c>
      <c r="N9" s="71">
        <v>0</v>
      </c>
      <c r="O9" s="71">
        <v>2</v>
      </c>
      <c r="P9" s="71">
        <v>3.8</v>
      </c>
      <c r="Q9" s="76">
        <v>9</v>
      </c>
      <c r="R9" s="71">
        <v>17</v>
      </c>
      <c r="S9" s="71">
        <v>2</v>
      </c>
      <c r="T9" s="71">
        <v>3.8</v>
      </c>
      <c r="U9" s="71">
        <v>4</v>
      </c>
      <c r="V9" s="71">
        <v>7.6</v>
      </c>
      <c r="W9" s="76">
        <v>1908</v>
      </c>
      <c r="X9" s="71">
        <v>100</v>
      </c>
    </row>
    <row r="10" spans="1:24" x14ac:dyDescent="0.3">
      <c r="A10" s="71" t="s">
        <v>25</v>
      </c>
      <c r="B10" s="76">
        <v>88</v>
      </c>
      <c r="C10" s="76">
        <v>0</v>
      </c>
      <c r="D10" s="71">
        <v>0</v>
      </c>
      <c r="E10" s="71">
        <v>2</v>
      </c>
      <c r="F10" s="71">
        <v>2.2999999999999998</v>
      </c>
      <c r="G10" s="76">
        <v>28</v>
      </c>
      <c r="H10" s="71">
        <v>31.9</v>
      </c>
      <c r="I10" s="76">
        <v>7</v>
      </c>
      <c r="J10" s="71">
        <v>8</v>
      </c>
      <c r="K10" s="76">
        <v>50</v>
      </c>
      <c r="L10" s="71">
        <v>56.9</v>
      </c>
      <c r="M10" s="71">
        <v>0</v>
      </c>
      <c r="N10" s="71">
        <v>0</v>
      </c>
      <c r="O10" s="71">
        <v>1</v>
      </c>
      <c r="P10" s="71">
        <v>1.1000000000000001</v>
      </c>
      <c r="Q10" s="76">
        <v>28</v>
      </c>
      <c r="R10" s="71">
        <v>31.8</v>
      </c>
      <c r="S10" s="71">
        <v>9</v>
      </c>
      <c r="T10" s="71">
        <v>10.3</v>
      </c>
      <c r="U10" s="71">
        <v>1</v>
      </c>
      <c r="V10" s="71">
        <v>1.1000000000000001</v>
      </c>
      <c r="W10" s="76">
        <v>1214</v>
      </c>
      <c r="X10" s="71">
        <v>100</v>
      </c>
    </row>
    <row r="11" spans="1:24" x14ac:dyDescent="0.3">
      <c r="A11" s="71" t="s">
        <v>26</v>
      </c>
      <c r="B11" s="76">
        <v>7</v>
      </c>
      <c r="C11" s="76">
        <v>0</v>
      </c>
      <c r="D11" s="71">
        <v>0</v>
      </c>
      <c r="E11" s="71">
        <v>0</v>
      </c>
      <c r="F11" s="71">
        <v>0</v>
      </c>
      <c r="G11" s="76">
        <v>0</v>
      </c>
      <c r="H11" s="71">
        <v>0</v>
      </c>
      <c r="I11" s="76">
        <v>1</v>
      </c>
      <c r="J11" s="71">
        <v>14.3</v>
      </c>
      <c r="K11" s="76">
        <v>6</v>
      </c>
      <c r="L11" s="71">
        <v>85.7</v>
      </c>
      <c r="M11" s="71">
        <v>0</v>
      </c>
      <c r="N11" s="71">
        <v>0</v>
      </c>
      <c r="O11" s="71">
        <v>0</v>
      </c>
      <c r="P11" s="71">
        <v>0</v>
      </c>
      <c r="Q11" s="76">
        <v>2</v>
      </c>
      <c r="R11" s="71">
        <v>28.5</v>
      </c>
      <c r="S11" s="71">
        <v>0</v>
      </c>
      <c r="T11" s="71">
        <v>0</v>
      </c>
      <c r="U11" s="71">
        <v>0</v>
      </c>
      <c r="V11" s="71">
        <v>0</v>
      </c>
      <c r="W11" s="76">
        <v>231</v>
      </c>
      <c r="X11" s="71">
        <v>100</v>
      </c>
    </row>
    <row r="12" spans="1:24" x14ac:dyDescent="0.3">
      <c r="A12" s="71" t="s">
        <v>27</v>
      </c>
      <c r="B12" s="76">
        <v>6</v>
      </c>
      <c r="C12" s="76">
        <v>0</v>
      </c>
      <c r="D12" s="71">
        <v>0</v>
      </c>
      <c r="E12" s="71">
        <v>0</v>
      </c>
      <c r="F12" s="71">
        <v>0</v>
      </c>
      <c r="G12" s="76">
        <v>1</v>
      </c>
      <c r="H12" s="71">
        <v>16.7</v>
      </c>
      <c r="I12" s="76">
        <v>4</v>
      </c>
      <c r="J12" s="71">
        <v>66.7</v>
      </c>
      <c r="K12" s="76">
        <v>1</v>
      </c>
      <c r="L12" s="71">
        <v>16.7</v>
      </c>
      <c r="M12" s="71">
        <v>0</v>
      </c>
      <c r="N12" s="71">
        <v>0</v>
      </c>
      <c r="O12" s="71">
        <v>0</v>
      </c>
      <c r="P12" s="71">
        <v>0</v>
      </c>
      <c r="Q12" s="76">
        <v>0</v>
      </c>
      <c r="R12" s="71">
        <v>0</v>
      </c>
      <c r="S12" s="71">
        <v>0</v>
      </c>
      <c r="T12" s="71">
        <v>0</v>
      </c>
      <c r="U12" s="71">
        <v>1</v>
      </c>
      <c r="V12" s="71">
        <v>16.7</v>
      </c>
      <c r="W12" s="76">
        <v>228</v>
      </c>
      <c r="X12" s="71">
        <v>99.6</v>
      </c>
    </row>
    <row r="13" spans="1:24" x14ac:dyDescent="0.3">
      <c r="A13" s="71" t="s">
        <v>28</v>
      </c>
      <c r="B13" s="76">
        <v>203</v>
      </c>
      <c r="C13" s="76">
        <v>0</v>
      </c>
      <c r="D13" s="71">
        <v>0</v>
      </c>
      <c r="E13" s="71">
        <v>1</v>
      </c>
      <c r="F13" s="71">
        <v>0.5</v>
      </c>
      <c r="G13" s="76">
        <v>45</v>
      </c>
      <c r="H13" s="71">
        <v>22.2</v>
      </c>
      <c r="I13" s="76">
        <v>76</v>
      </c>
      <c r="J13" s="71">
        <v>37.4</v>
      </c>
      <c r="K13" s="76">
        <v>70</v>
      </c>
      <c r="L13" s="71">
        <v>34.5</v>
      </c>
      <c r="M13" s="71">
        <v>0</v>
      </c>
      <c r="N13" s="71">
        <v>0</v>
      </c>
      <c r="O13" s="71">
        <v>11</v>
      </c>
      <c r="P13" s="71">
        <v>5.4</v>
      </c>
      <c r="Q13" s="76">
        <v>76</v>
      </c>
      <c r="R13" s="71">
        <v>37.4</v>
      </c>
      <c r="S13" s="71">
        <v>17</v>
      </c>
      <c r="T13" s="71">
        <v>8.4</v>
      </c>
      <c r="U13" s="71">
        <v>7</v>
      </c>
      <c r="V13" s="71">
        <v>3.4</v>
      </c>
      <c r="W13" s="76">
        <v>3976</v>
      </c>
      <c r="X13" s="71">
        <v>100</v>
      </c>
    </row>
    <row r="14" spans="1:24" x14ac:dyDescent="0.3">
      <c r="A14" s="71" t="s">
        <v>29</v>
      </c>
      <c r="B14" s="76">
        <v>159</v>
      </c>
      <c r="C14" s="76">
        <v>0</v>
      </c>
      <c r="D14" s="71">
        <v>0</v>
      </c>
      <c r="E14" s="71">
        <v>0</v>
      </c>
      <c r="F14" s="71">
        <v>0</v>
      </c>
      <c r="G14" s="76">
        <v>17</v>
      </c>
      <c r="H14" s="71">
        <v>10.7</v>
      </c>
      <c r="I14" s="76">
        <v>91</v>
      </c>
      <c r="J14" s="71">
        <v>57.2</v>
      </c>
      <c r="K14" s="76">
        <v>45</v>
      </c>
      <c r="L14" s="71">
        <v>28.3</v>
      </c>
      <c r="M14" s="71">
        <v>0</v>
      </c>
      <c r="N14" s="71">
        <v>0</v>
      </c>
      <c r="O14" s="71">
        <v>6</v>
      </c>
      <c r="P14" s="71">
        <v>3.8</v>
      </c>
      <c r="Q14" s="76">
        <v>40</v>
      </c>
      <c r="R14" s="71">
        <v>25.1</v>
      </c>
      <c r="S14" s="71">
        <v>4</v>
      </c>
      <c r="T14" s="71">
        <v>2.5</v>
      </c>
      <c r="U14" s="71">
        <v>4</v>
      </c>
      <c r="V14" s="71">
        <v>2.5</v>
      </c>
      <c r="W14" s="76">
        <v>2416</v>
      </c>
      <c r="X14" s="71">
        <v>100</v>
      </c>
    </row>
    <row r="15" spans="1:24" x14ac:dyDescent="0.3">
      <c r="A15" s="71" t="s">
        <v>30</v>
      </c>
      <c r="B15" s="76">
        <v>34</v>
      </c>
      <c r="C15" s="76">
        <v>0</v>
      </c>
      <c r="D15" s="71">
        <v>0</v>
      </c>
      <c r="E15" s="71">
        <v>5</v>
      </c>
      <c r="F15" s="71">
        <v>14.7</v>
      </c>
      <c r="G15" s="76">
        <v>5</v>
      </c>
      <c r="H15" s="71">
        <v>14.7</v>
      </c>
      <c r="I15" s="76">
        <v>0</v>
      </c>
      <c r="J15" s="71">
        <v>0</v>
      </c>
      <c r="K15" s="76">
        <v>1</v>
      </c>
      <c r="L15" s="71">
        <v>3</v>
      </c>
      <c r="M15" s="71">
        <v>19</v>
      </c>
      <c r="N15" s="71">
        <v>55.9</v>
      </c>
      <c r="O15" s="71">
        <v>4</v>
      </c>
      <c r="P15" s="71">
        <v>11.8</v>
      </c>
      <c r="Q15" s="76">
        <v>23</v>
      </c>
      <c r="R15" s="71">
        <v>67.599999999999994</v>
      </c>
      <c r="S15" s="71">
        <v>23</v>
      </c>
      <c r="T15" s="71">
        <v>67.599999999999994</v>
      </c>
      <c r="U15" s="71">
        <v>23</v>
      </c>
      <c r="V15" s="71">
        <v>67.599999999999994</v>
      </c>
      <c r="W15" s="76">
        <v>292</v>
      </c>
      <c r="X15" s="71">
        <v>100</v>
      </c>
    </row>
    <row r="16" spans="1:24" x14ac:dyDescent="0.3">
      <c r="A16" s="71" t="s">
        <v>31</v>
      </c>
      <c r="B16" s="76">
        <v>82</v>
      </c>
      <c r="C16" s="76">
        <v>7</v>
      </c>
      <c r="D16" s="71">
        <v>8.5</v>
      </c>
      <c r="E16" s="71">
        <v>0</v>
      </c>
      <c r="F16" s="71">
        <v>0</v>
      </c>
      <c r="G16" s="76">
        <v>20</v>
      </c>
      <c r="H16" s="71">
        <v>24.4</v>
      </c>
      <c r="I16" s="76">
        <v>0</v>
      </c>
      <c r="J16" s="71">
        <v>0</v>
      </c>
      <c r="K16" s="76">
        <v>55</v>
      </c>
      <c r="L16" s="71">
        <v>67</v>
      </c>
      <c r="M16" s="71">
        <v>0</v>
      </c>
      <c r="N16" s="71">
        <v>0</v>
      </c>
      <c r="O16" s="71">
        <v>0</v>
      </c>
      <c r="P16" s="71">
        <v>0</v>
      </c>
      <c r="Q16" s="76">
        <v>13</v>
      </c>
      <c r="R16" s="71">
        <v>15.9</v>
      </c>
      <c r="S16" s="71">
        <v>2</v>
      </c>
      <c r="T16" s="71">
        <v>2.4</v>
      </c>
      <c r="U16" s="71">
        <v>2</v>
      </c>
      <c r="V16" s="71">
        <v>2.4</v>
      </c>
      <c r="W16" s="76">
        <v>725</v>
      </c>
      <c r="X16" s="71">
        <v>100</v>
      </c>
    </row>
    <row r="17" spans="1:24" x14ac:dyDescent="0.3">
      <c r="A17" s="71" t="s">
        <v>32</v>
      </c>
      <c r="B17" s="76">
        <v>714</v>
      </c>
      <c r="C17" s="76">
        <v>0</v>
      </c>
      <c r="D17" s="71">
        <v>0</v>
      </c>
      <c r="E17" s="71">
        <v>17</v>
      </c>
      <c r="F17" s="71">
        <v>2.4</v>
      </c>
      <c r="G17" s="76">
        <v>124</v>
      </c>
      <c r="H17" s="71">
        <v>17.399999999999999</v>
      </c>
      <c r="I17" s="76">
        <v>237</v>
      </c>
      <c r="J17" s="71">
        <v>33.200000000000003</v>
      </c>
      <c r="K17" s="76">
        <v>301</v>
      </c>
      <c r="L17" s="71">
        <v>42.2</v>
      </c>
      <c r="M17" s="71">
        <v>0</v>
      </c>
      <c r="N17" s="71">
        <v>0</v>
      </c>
      <c r="O17" s="71">
        <v>35</v>
      </c>
      <c r="P17" s="71">
        <v>4.9000000000000004</v>
      </c>
      <c r="Q17" s="76">
        <v>136</v>
      </c>
      <c r="R17" s="71">
        <v>19.100000000000001</v>
      </c>
      <c r="S17" s="71">
        <v>15</v>
      </c>
      <c r="T17" s="71">
        <v>2.1</v>
      </c>
      <c r="U17" s="71">
        <v>54</v>
      </c>
      <c r="V17" s="71">
        <v>7.5</v>
      </c>
      <c r="W17" s="76">
        <v>4145</v>
      </c>
      <c r="X17" s="71">
        <v>87.2</v>
      </c>
    </row>
    <row r="18" spans="1:24" x14ac:dyDescent="0.3">
      <c r="A18" s="71" t="s">
        <v>33</v>
      </c>
      <c r="B18" s="76">
        <v>229</v>
      </c>
      <c r="C18" s="76">
        <v>0</v>
      </c>
      <c r="D18" s="71">
        <v>0</v>
      </c>
      <c r="E18" s="71">
        <v>0</v>
      </c>
      <c r="F18" s="71">
        <v>0</v>
      </c>
      <c r="G18" s="76">
        <v>34</v>
      </c>
      <c r="H18" s="71">
        <v>14.8</v>
      </c>
      <c r="I18" s="76">
        <v>86</v>
      </c>
      <c r="J18" s="71">
        <v>37.5</v>
      </c>
      <c r="K18" s="76">
        <v>100</v>
      </c>
      <c r="L18" s="71">
        <v>43.6</v>
      </c>
      <c r="M18" s="71">
        <v>0</v>
      </c>
      <c r="N18" s="71">
        <v>0</v>
      </c>
      <c r="O18" s="71">
        <v>9</v>
      </c>
      <c r="P18" s="71">
        <v>3.9</v>
      </c>
      <c r="Q18" s="76">
        <v>29</v>
      </c>
      <c r="R18" s="71">
        <v>12.6</v>
      </c>
      <c r="S18" s="71">
        <v>2</v>
      </c>
      <c r="T18" s="71">
        <v>0.9</v>
      </c>
      <c r="U18" s="71">
        <v>9</v>
      </c>
      <c r="V18" s="71">
        <v>4</v>
      </c>
      <c r="W18" s="76">
        <v>1886</v>
      </c>
      <c r="X18" s="71">
        <v>100</v>
      </c>
    </row>
    <row r="19" spans="1:24" x14ac:dyDescent="0.3">
      <c r="A19" s="71" t="s">
        <v>34</v>
      </c>
      <c r="B19" s="76">
        <v>131</v>
      </c>
      <c r="C19" s="76">
        <v>0</v>
      </c>
      <c r="D19" s="71">
        <v>0</v>
      </c>
      <c r="E19" s="71">
        <v>1</v>
      </c>
      <c r="F19" s="71">
        <v>0.8</v>
      </c>
      <c r="G19" s="76">
        <v>15</v>
      </c>
      <c r="H19" s="71">
        <v>11.4</v>
      </c>
      <c r="I19" s="76">
        <v>12</v>
      </c>
      <c r="J19" s="71">
        <v>9.1999999999999993</v>
      </c>
      <c r="K19" s="76">
        <v>100</v>
      </c>
      <c r="L19" s="71">
        <v>76.400000000000006</v>
      </c>
      <c r="M19" s="71">
        <v>1</v>
      </c>
      <c r="N19" s="71">
        <v>0.8</v>
      </c>
      <c r="O19" s="71">
        <v>2</v>
      </c>
      <c r="P19" s="71">
        <v>1.6</v>
      </c>
      <c r="Q19" s="76">
        <v>34</v>
      </c>
      <c r="R19" s="71">
        <v>25.9</v>
      </c>
      <c r="S19" s="71">
        <v>2</v>
      </c>
      <c r="T19" s="71">
        <v>1.5</v>
      </c>
      <c r="U19" s="71">
        <v>9</v>
      </c>
      <c r="V19" s="71">
        <v>6.8</v>
      </c>
      <c r="W19" s="76">
        <v>1343</v>
      </c>
      <c r="X19" s="71">
        <v>100</v>
      </c>
    </row>
    <row r="20" spans="1:24" x14ac:dyDescent="0.3">
      <c r="A20" s="71" t="s">
        <v>35</v>
      </c>
      <c r="B20" s="76">
        <v>119</v>
      </c>
      <c r="C20" s="76">
        <v>1</v>
      </c>
      <c r="D20" s="71">
        <v>0.9</v>
      </c>
      <c r="E20" s="71">
        <v>1</v>
      </c>
      <c r="F20" s="71">
        <v>0.9</v>
      </c>
      <c r="G20" s="76">
        <v>14</v>
      </c>
      <c r="H20" s="71">
        <v>11.8</v>
      </c>
      <c r="I20" s="76">
        <v>4</v>
      </c>
      <c r="J20" s="71">
        <v>3.3</v>
      </c>
      <c r="K20" s="76">
        <v>92</v>
      </c>
      <c r="L20" s="71">
        <v>77.3</v>
      </c>
      <c r="M20" s="71">
        <v>0</v>
      </c>
      <c r="N20" s="71">
        <v>0</v>
      </c>
      <c r="O20" s="71">
        <v>7</v>
      </c>
      <c r="P20" s="71">
        <v>5.9</v>
      </c>
      <c r="Q20" s="76">
        <v>33</v>
      </c>
      <c r="R20" s="71">
        <v>27.8</v>
      </c>
      <c r="S20" s="71">
        <v>1</v>
      </c>
      <c r="T20" s="71">
        <v>0.9</v>
      </c>
      <c r="U20" s="71">
        <v>4</v>
      </c>
      <c r="V20" s="71">
        <v>3.3</v>
      </c>
      <c r="W20" s="76">
        <v>1350</v>
      </c>
      <c r="X20" s="71">
        <v>100</v>
      </c>
    </row>
    <row r="21" spans="1:24" x14ac:dyDescent="0.3">
      <c r="A21" s="71" t="s">
        <v>36</v>
      </c>
      <c r="B21" s="76">
        <v>137</v>
      </c>
      <c r="C21" s="76">
        <v>0</v>
      </c>
      <c r="D21" s="71">
        <v>0</v>
      </c>
      <c r="E21" s="71">
        <v>1</v>
      </c>
      <c r="F21" s="71">
        <v>0.7</v>
      </c>
      <c r="G21" s="76">
        <v>5</v>
      </c>
      <c r="H21" s="71">
        <v>3.6</v>
      </c>
      <c r="I21" s="76">
        <v>45</v>
      </c>
      <c r="J21" s="71">
        <v>32.799999999999997</v>
      </c>
      <c r="K21" s="76">
        <v>74</v>
      </c>
      <c r="L21" s="71">
        <v>54</v>
      </c>
      <c r="M21" s="71">
        <v>0</v>
      </c>
      <c r="N21" s="71">
        <v>0</v>
      </c>
      <c r="O21" s="71">
        <v>12</v>
      </c>
      <c r="P21" s="71">
        <v>8.8000000000000007</v>
      </c>
      <c r="Q21" s="76">
        <v>18</v>
      </c>
      <c r="R21" s="71">
        <v>13.2</v>
      </c>
      <c r="S21" s="71">
        <v>4</v>
      </c>
      <c r="T21" s="71">
        <v>2.9</v>
      </c>
      <c r="U21" s="71">
        <v>3</v>
      </c>
      <c r="V21" s="71">
        <v>2.2000000000000002</v>
      </c>
      <c r="W21" s="76">
        <v>1401</v>
      </c>
      <c r="X21" s="71">
        <v>100</v>
      </c>
    </row>
    <row r="22" spans="1:24" x14ac:dyDescent="0.3">
      <c r="A22" s="71" t="s">
        <v>37</v>
      </c>
      <c r="B22" s="76">
        <v>37</v>
      </c>
      <c r="C22" s="76">
        <v>1</v>
      </c>
      <c r="D22" s="71">
        <v>2.7</v>
      </c>
      <c r="E22" s="71">
        <v>0</v>
      </c>
      <c r="F22" s="71">
        <v>0</v>
      </c>
      <c r="G22" s="76">
        <v>4</v>
      </c>
      <c r="H22" s="71">
        <v>10.8</v>
      </c>
      <c r="I22" s="76">
        <v>22</v>
      </c>
      <c r="J22" s="71">
        <v>59.4</v>
      </c>
      <c r="K22" s="76">
        <v>9</v>
      </c>
      <c r="L22" s="71">
        <v>24.4</v>
      </c>
      <c r="M22" s="71">
        <v>0</v>
      </c>
      <c r="N22" s="71">
        <v>0</v>
      </c>
      <c r="O22" s="71">
        <v>1</v>
      </c>
      <c r="P22" s="71">
        <v>2.7</v>
      </c>
      <c r="Q22" s="76">
        <v>10</v>
      </c>
      <c r="R22" s="71">
        <v>27.1</v>
      </c>
      <c r="S22" s="71">
        <v>8</v>
      </c>
      <c r="T22" s="71">
        <v>21.6</v>
      </c>
      <c r="U22" s="71">
        <v>1</v>
      </c>
      <c r="V22" s="71">
        <v>2.7</v>
      </c>
      <c r="W22" s="76">
        <v>1365</v>
      </c>
      <c r="X22" s="71">
        <v>100</v>
      </c>
    </row>
    <row r="23" spans="1:24" x14ac:dyDescent="0.3">
      <c r="A23" s="71" t="s">
        <v>38</v>
      </c>
      <c r="B23" s="76">
        <v>63</v>
      </c>
      <c r="C23" s="76">
        <v>0</v>
      </c>
      <c r="D23" s="71">
        <v>0</v>
      </c>
      <c r="E23" s="71">
        <v>0</v>
      </c>
      <c r="F23" s="71">
        <v>0</v>
      </c>
      <c r="G23" s="76">
        <v>1</v>
      </c>
      <c r="H23" s="71">
        <v>1.6</v>
      </c>
      <c r="I23" s="76">
        <v>4</v>
      </c>
      <c r="J23" s="71">
        <v>6.3</v>
      </c>
      <c r="K23" s="76">
        <v>55</v>
      </c>
      <c r="L23" s="71">
        <v>87.3</v>
      </c>
      <c r="M23" s="71">
        <v>0</v>
      </c>
      <c r="N23" s="71">
        <v>0</v>
      </c>
      <c r="O23" s="71">
        <v>3</v>
      </c>
      <c r="P23" s="71">
        <v>4.7</v>
      </c>
      <c r="Q23" s="76">
        <v>19</v>
      </c>
      <c r="R23" s="71">
        <v>30.1</v>
      </c>
      <c r="S23" s="71">
        <v>1</v>
      </c>
      <c r="T23" s="71">
        <v>1.6</v>
      </c>
      <c r="U23" s="71">
        <v>0</v>
      </c>
      <c r="V23" s="71">
        <v>0</v>
      </c>
      <c r="W23" s="76">
        <v>579</v>
      </c>
      <c r="X23" s="71">
        <v>100</v>
      </c>
    </row>
    <row r="24" spans="1:24" x14ac:dyDescent="0.3">
      <c r="A24" s="71" t="s">
        <v>39</v>
      </c>
      <c r="B24" s="76">
        <v>104</v>
      </c>
      <c r="C24" s="76">
        <v>0</v>
      </c>
      <c r="D24" s="71">
        <v>0</v>
      </c>
      <c r="E24" s="71">
        <v>2</v>
      </c>
      <c r="F24" s="71">
        <v>1.9</v>
      </c>
      <c r="G24" s="76">
        <v>5</v>
      </c>
      <c r="H24" s="71">
        <v>4.8</v>
      </c>
      <c r="I24" s="76">
        <v>40</v>
      </c>
      <c r="J24" s="71">
        <v>38.5</v>
      </c>
      <c r="K24" s="76">
        <v>52</v>
      </c>
      <c r="L24" s="71">
        <v>50</v>
      </c>
      <c r="M24" s="71">
        <v>0</v>
      </c>
      <c r="N24" s="71">
        <v>0</v>
      </c>
      <c r="O24" s="71">
        <v>5</v>
      </c>
      <c r="P24" s="71">
        <v>4.8</v>
      </c>
      <c r="Q24" s="76">
        <v>17</v>
      </c>
      <c r="R24" s="71">
        <v>16.3</v>
      </c>
      <c r="S24" s="71">
        <v>4</v>
      </c>
      <c r="T24" s="71">
        <v>3.8</v>
      </c>
      <c r="U24" s="71">
        <v>3</v>
      </c>
      <c r="V24" s="71">
        <v>2.9</v>
      </c>
      <c r="W24" s="76">
        <v>1414</v>
      </c>
      <c r="X24" s="71">
        <v>100</v>
      </c>
    </row>
    <row r="25" spans="1:24" x14ac:dyDescent="0.3">
      <c r="A25" s="71" t="s">
        <v>40</v>
      </c>
      <c r="B25" s="76">
        <v>155</v>
      </c>
      <c r="C25" s="76">
        <v>2</v>
      </c>
      <c r="D25" s="71">
        <v>1.3</v>
      </c>
      <c r="E25" s="71">
        <v>2</v>
      </c>
      <c r="F25" s="71">
        <v>1.3</v>
      </c>
      <c r="G25" s="76">
        <v>30</v>
      </c>
      <c r="H25" s="71">
        <v>19.399999999999999</v>
      </c>
      <c r="I25" s="76">
        <v>30</v>
      </c>
      <c r="J25" s="71">
        <v>19.3</v>
      </c>
      <c r="K25" s="76">
        <v>86</v>
      </c>
      <c r="L25" s="71">
        <v>55.5</v>
      </c>
      <c r="M25" s="71">
        <v>0</v>
      </c>
      <c r="N25" s="71">
        <v>0</v>
      </c>
      <c r="O25" s="71">
        <v>5</v>
      </c>
      <c r="P25" s="71">
        <v>3.2</v>
      </c>
      <c r="Q25" s="76">
        <v>44</v>
      </c>
      <c r="R25" s="71">
        <v>28.4</v>
      </c>
      <c r="S25" s="71">
        <v>10</v>
      </c>
      <c r="T25" s="71">
        <v>6.4</v>
      </c>
      <c r="U25" s="71">
        <v>18</v>
      </c>
      <c r="V25" s="71">
        <v>11.6</v>
      </c>
      <c r="W25" s="76">
        <v>1870</v>
      </c>
      <c r="X25" s="71">
        <v>99</v>
      </c>
    </row>
    <row r="26" spans="1:24" x14ac:dyDescent="0.3">
      <c r="A26" s="71" t="s">
        <v>41</v>
      </c>
      <c r="B26" s="76">
        <v>578</v>
      </c>
      <c r="C26" s="76">
        <v>6</v>
      </c>
      <c r="D26" s="71">
        <v>1.1000000000000001</v>
      </c>
      <c r="E26" s="71">
        <v>6</v>
      </c>
      <c r="F26" s="71">
        <v>1</v>
      </c>
      <c r="G26" s="76">
        <v>36</v>
      </c>
      <c r="H26" s="71">
        <v>6.3</v>
      </c>
      <c r="I26" s="76">
        <v>91</v>
      </c>
      <c r="J26" s="71">
        <v>15.8</v>
      </c>
      <c r="K26" s="76">
        <v>411</v>
      </c>
      <c r="L26" s="71">
        <v>71.099999999999994</v>
      </c>
      <c r="M26" s="71">
        <v>1</v>
      </c>
      <c r="N26" s="71">
        <v>0.2</v>
      </c>
      <c r="O26" s="71">
        <v>27</v>
      </c>
      <c r="P26" s="71">
        <v>4.7</v>
      </c>
      <c r="Q26" s="76">
        <v>123</v>
      </c>
      <c r="R26" s="71">
        <v>21.2</v>
      </c>
      <c r="S26" s="71">
        <v>19</v>
      </c>
      <c r="T26" s="71">
        <v>3.3</v>
      </c>
      <c r="U26" s="71">
        <v>26</v>
      </c>
      <c r="V26" s="71">
        <v>4.5</v>
      </c>
      <c r="W26" s="76">
        <v>3559</v>
      </c>
      <c r="X26" s="71">
        <v>100</v>
      </c>
    </row>
    <row r="27" spans="1:24" x14ac:dyDescent="0.3">
      <c r="A27" s="71" t="s">
        <v>42</v>
      </c>
      <c r="B27" s="76">
        <v>544</v>
      </c>
      <c r="C27" s="76">
        <v>44</v>
      </c>
      <c r="D27" s="71">
        <v>8.1</v>
      </c>
      <c r="E27" s="71">
        <v>14</v>
      </c>
      <c r="F27" s="71">
        <v>2.6</v>
      </c>
      <c r="G27" s="76">
        <v>56</v>
      </c>
      <c r="H27" s="71">
        <v>10.3</v>
      </c>
      <c r="I27" s="76">
        <v>151</v>
      </c>
      <c r="J27" s="71">
        <v>27.8</v>
      </c>
      <c r="K27" s="76">
        <v>255</v>
      </c>
      <c r="L27" s="71">
        <v>46.9</v>
      </c>
      <c r="M27" s="71">
        <v>0</v>
      </c>
      <c r="N27" s="71">
        <v>0</v>
      </c>
      <c r="O27" s="71">
        <v>24</v>
      </c>
      <c r="P27" s="71">
        <v>4.4000000000000004</v>
      </c>
      <c r="Q27" s="76">
        <v>141</v>
      </c>
      <c r="R27" s="71">
        <v>25.9</v>
      </c>
      <c r="S27" s="71">
        <v>10</v>
      </c>
      <c r="T27" s="71">
        <v>1.8</v>
      </c>
      <c r="U27" s="71">
        <v>49</v>
      </c>
      <c r="V27" s="71">
        <v>9</v>
      </c>
      <c r="W27" s="76">
        <v>2232</v>
      </c>
      <c r="X27" s="71">
        <v>100</v>
      </c>
    </row>
    <row r="28" spans="1:24" x14ac:dyDescent="0.3">
      <c r="A28" s="71" t="s">
        <v>43</v>
      </c>
      <c r="B28" s="76">
        <v>72</v>
      </c>
      <c r="C28" s="76">
        <v>0</v>
      </c>
      <c r="D28" s="71">
        <v>0</v>
      </c>
      <c r="E28" s="71">
        <v>1</v>
      </c>
      <c r="F28" s="71">
        <v>1.4</v>
      </c>
      <c r="G28" s="76">
        <v>0</v>
      </c>
      <c r="H28" s="71">
        <v>0</v>
      </c>
      <c r="I28" s="76">
        <v>39</v>
      </c>
      <c r="J28" s="71">
        <v>54.2</v>
      </c>
      <c r="K28" s="76">
        <v>32</v>
      </c>
      <c r="L28" s="71">
        <v>44.4</v>
      </c>
      <c r="M28" s="71">
        <v>0</v>
      </c>
      <c r="N28" s="71">
        <v>0</v>
      </c>
      <c r="O28" s="71">
        <v>0</v>
      </c>
      <c r="P28" s="71">
        <v>0</v>
      </c>
      <c r="Q28" s="76">
        <v>22</v>
      </c>
      <c r="R28" s="71">
        <v>30.6</v>
      </c>
      <c r="S28" s="71">
        <v>0</v>
      </c>
      <c r="T28" s="71">
        <v>0</v>
      </c>
      <c r="U28" s="71">
        <v>0</v>
      </c>
      <c r="V28" s="71">
        <v>0</v>
      </c>
      <c r="W28" s="76">
        <v>960</v>
      </c>
      <c r="X28" s="71">
        <v>100</v>
      </c>
    </row>
    <row r="29" spans="1:24" x14ac:dyDescent="0.3">
      <c r="A29" s="71" t="s">
        <v>44</v>
      </c>
      <c r="B29" s="76">
        <v>473</v>
      </c>
      <c r="C29" s="76">
        <v>1</v>
      </c>
      <c r="D29" s="71">
        <v>0.2</v>
      </c>
      <c r="E29" s="71">
        <v>2</v>
      </c>
      <c r="F29" s="71">
        <v>0.4</v>
      </c>
      <c r="G29" s="76">
        <v>19</v>
      </c>
      <c r="H29" s="71">
        <v>4</v>
      </c>
      <c r="I29" s="76">
        <v>180</v>
      </c>
      <c r="J29" s="71">
        <v>38</v>
      </c>
      <c r="K29" s="76">
        <v>254</v>
      </c>
      <c r="L29" s="71">
        <v>53.7</v>
      </c>
      <c r="M29" s="71">
        <v>1</v>
      </c>
      <c r="N29" s="71">
        <v>0.2</v>
      </c>
      <c r="O29" s="71">
        <v>16</v>
      </c>
      <c r="P29" s="71">
        <v>3.4</v>
      </c>
      <c r="Q29" s="76">
        <v>100</v>
      </c>
      <c r="R29" s="71">
        <v>21.1</v>
      </c>
      <c r="S29" s="71">
        <v>11</v>
      </c>
      <c r="T29" s="71">
        <v>2.2999999999999998</v>
      </c>
      <c r="U29" s="71">
        <v>10</v>
      </c>
      <c r="V29" s="71">
        <v>2.1</v>
      </c>
      <c r="W29" s="76">
        <v>2381</v>
      </c>
      <c r="X29" s="71">
        <v>100</v>
      </c>
    </row>
    <row r="30" spans="1:24" x14ac:dyDescent="0.3">
      <c r="A30" s="71" t="s">
        <v>45</v>
      </c>
      <c r="B30" s="76">
        <v>75</v>
      </c>
      <c r="C30" s="76">
        <v>8</v>
      </c>
      <c r="D30" s="71">
        <v>10.6</v>
      </c>
      <c r="E30" s="71">
        <v>1</v>
      </c>
      <c r="F30" s="71">
        <v>1.3</v>
      </c>
      <c r="G30" s="76">
        <v>2</v>
      </c>
      <c r="H30" s="71">
        <v>2.7</v>
      </c>
      <c r="I30" s="76">
        <v>4</v>
      </c>
      <c r="J30" s="71">
        <v>5.3</v>
      </c>
      <c r="K30" s="76">
        <v>58</v>
      </c>
      <c r="L30" s="71">
        <v>77.400000000000006</v>
      </c>
      <c r="M30" s="71">
        <v>0</v>
      </c>
      <c r="N30" s="71">
        <v>0</v>
      </c>
      <c r="O30" s="71">
        <v>2</v>
      </c>
      <c r="P30" s="71">
        <v>2.7</v>
      </c>
      <c r="Q30" s="76">
        <v>10</v>
      </c>
      <c r="R30" s="71">
        <v>13.4</v>
      </c>
      <c r="S30" s="71">
        <v>1</v>
      </c>
      <c r="T30" s="71">
        <v>1.3</v>
      </c>
      <c r="U30" s="71">
        <v>0</v>
      </c>
      <c r="V30" s="71">
        <v>0</v>
      </c>
      <c r="W30" s="76">
        <v>823</v>
      </c>
      <c r="X30" s="71">
        <v>96.2</v>
      </c>
    </row>
    <row r="31" spans="1:24" x14ac:dyDescent="0.3">
      <c r="A31" s="71" t="s">
        <v>46</v>
      </c>
      <c r="B31" s="76">
        <v>161</v>
      </c>
      <c r="C31" s="76">
        <v>2</v>
      </c>
      <c r="D31" s="71">
        <v>1.2</v>
      </c>
      <c r="E31" s="71">
        <v>0</v>
      </c>
      <c r="F31" s="71">
        <v>0</v>
      </c>
      <c r="G31" s="76">
        <v>28</v>
      </c>
      <c r="H31" s="71">
        <v>17.399999999999999</v>
      </c>
      <c r="I31" s="76">
        <v>33</v>
      </c>
      <c r="J31" s="71">
        <v>20.5</v>
      </c>
      <c r="K31" s="76">
        <v>86</v>
      </c>
      <c r="L31" s="71">
        <v>53.4</v>
      </c>
      <c r="M31" s="71">
        <v>0</v>
      </c>
      <c r="N31" s="71">
        <v>0</v>
      </c>
      <c r="O31" s="71">
        <v>12</v>
      </c>
      <c r="P31" s="71">
        <v>7.4</v>
      </c>
      <c r="Q31" s="76">
        <v>44</v>
      </c>
      <c r="R31" s="71">
        <v>27.3</v>
      </c>
      <c r="S31" s="71">
        <v>3</v>
      </c>
      <c r="T31" s="71">
        <v>1.9</v>
      </c>
      <c r="U31" s="71">
        <v>0</v>
      </c>
      <c r="V31" s="71">
        <v>0</v>
      </c>
      <c r="W31" s="76">
        <v>1055</v>
      </c>
      <c r="X31" s="71">
        <v>100</v>
      </c>
    </row>
    <row r="32" spans="1:24" x14ac:dyDescent="0.3">
      <c r="A32" s="71" t="s">
        <v>47</v>
      </c>
      <c r="B32" s="76">
        <v>24</v>
      </c>
      <c r="C32" s="76">
        <v>2</v>
      </c>
      <c r="D32" s="71">
        <v>8.3000000000000007</v>
      </c>
      <c r="E32" s="71">
        <v>0</v>
      </c>
      <c r="F32" s="71">
        <v>0</v>
      </c>
      <c r="G32" s="76">
        <v>9</v>
      </c>
      <c r="H32" s="71">
        <v>37.5</v>
      </c>
      <c r="I32" s="76">
        <v>1</v>
      </c>
      <c r="J32" s="71">
        <v>4.2</v>
      </c>
      <c r="K32" s="76">
        <v>12</v>
      </c>
      <c r="L32" s="71">
        <v>50</v>
      </c>
      <c r="M32" s="71">
        <v>0</v>
      </c>
      <c r="N32" s="71">
        <v>0</v>
      </c>
      <c r="O32" s="71">
        <v>0</v>
      </c>
      <c r="P32" s="71">
        <v>0</v>
      </c>
      <c r="Q32" s="76">
        <v>4</v>
      </c>
      <c r="R32" s="71">
        <v>16.600000000000001</v>
      </c>
      <c r="S32" s="71">
        <v>2</v>
      </c>
      <c r="T32" s="71">
        <v>8.3000000000000007</v>
      </c>
      <c r="U32" s="71">
        <v>7</v>
      </c>
      <c r="V32" s="71">
        <v>29.2</v>
      </c>
      <c r="W32" s="76">
        <v>704</v>
      </c>
      <c r="X32" s="71">
        <v>100</v>
      </c>
    </row>
    <row r="33" spans="1:24" x14ac:dyDescent="0.3">
      <c r="A33" s="71" t="s">
        <v>48</v>
      </c>
      <c r="B33" s="76">
        <v>106</v>
      </c>
      <c r="C33" s="76">
        <v>1</v>
      </c>
      <c r="D33" s="71">
        <v>1</v>
      </c>
      <c r="E33" s="71">
        <v>2</v>
      </c>
      <c r="F33" s="71">
        <v>1.9</v>
      </c>
      <c r="G33" s="76">
        <v>2</v>
      </c>
      <c r="H33" s="71">
        <v>1.9</v>
      </c>
      <c r="I33" s="76">
        <v>5</v>
      </c>
      <c r="J33" s="71">
        <v>4.7</v>
      </c>
      <c r="K33" s="76">
        <v>92</v>
      </c>
      <c r="L33" s="71">
        <v>86.7</v>
      </c>
      <c r="M33" s="71">
        <v>1</v>
      </c>
      <c r="N33" s="71">
        <v>1</v>
      </c>
      <c r="O33" s="71">
        <v>3</v>
      </c>
      <c r="P33" s="71">
        <v>2.9</v>
      </c>
      <c r="Q33" s="76">
        <v>19</v>
      </c>
      <c r="R33" s="71">
        <v>18</v>
      </c>
      <c r="S33" s="71">
        <v>9</v>
      </c>
      <c r="T33" s="71">
        <v>8.5</v>
      </c>
      <c r="U33" s="71">
        <v>0</v>
      </c>
      <c r="V33" s="71">
        <v>0</v>
      </c>
      <c r="W33" s="76">
        <v>491</v>
      </c>
      <c r="X33" s="71">
        <v>100</v>
      </c>
    </row>
    <row r="34" spans="1:24" x14ac:dyDescent="0.3">
      <c r="A34" s="71" t="s">
        <v>49</v>
      </c>
      <c r="B34" s="76">
        <v>1132</v>
      </c>
      <c r="C34" s="76">
        <v>1</v>
      </c>
      <c r="D34" s="71">
        <v>0.1</v>
      </c>
      <c r="E34" s="71">
        <v>39</v>
      </c>
      <c r="F34" s="71">
        <v>3.5</v>
      </c>
      <c r="G34" s="76">
        <v>247</v>
      </c>
      <c r="H34" s="71">
        <v>21.8</v>
      </c>
      <c r="I34" s="76">
        <v>255</v>
      </c>
      <c r="J34" s="71">
        <v>22.6</v>
      </c>
      <c r="K34" s="76">
        <v>557</v>
      </c>
      <c r="L34" s="71">
        <v>49.2</v>
      </c>
      <c r="M34" s="71">
        <v>0</v>
      </c>
      <c r="N34" s="71">
        <v>0</v>
      </c>
      <c r="O34" s="71">
        <v>33</v>
      </c>
      <c r="P34" s="71">
        <v>2.9</v>
      </c>
      <c r="Q34" s="76">
        <v>267</v>
      </c>
      <c r="R34" s="71">
        <v>23.6</v>
      </c>
      <c r="S34" s="71">
        <v>36</v>
      </c>
      <c r="T34" s="71">
        <v>3.2</v>
      </c>
      <c r="U34" s="71">
        <v>13</v>
      </c>
      <c r="V34" s="71">
        <v>1.2</v>
      </c>
      <c r="W34" s="76">
        <v>2561</v>
      </c>
      <c r="X34" s="71">
        <v>100</v>
      </c>
    </row>
    <row r="35" spans="1:24" x14ac:dyDescent="0.3">
      <c r="A35" s="71" t="s">
        <v>50</v>
      </c>
      <c r="B35" s="76">
        <v>25</v>
      </c>
      <c r="C35" s="76">
        <v>4</v>
      </c>
      <c r="D35" s="71">
        <v>16</v>
      </c>
      <c r="E35" s="71">
        <v>0</v>
      </c>
      <c r="F35" s="71">
        <v>0</v>
      </c>
      <c r="G35" s="76">
        <v>13</v>
      </c>
      <c r="H35" s="71">
        <v>52</v>
      </c>
      <c r="I35" s="76">
        <v>0</v>
      </c>
      <c r="J35" s="71">
        <v>0</v>
      </c>
      <c r="K35" s="76">
        <v>8</v>
      </c>
      <c r="L35" s="71">
        <v>32</v>
      </c>
      <c r="M35" s="71">
        <v>0</v>
      </c>
      <c r="N35" s="71">
        <v>0</v>
      </c>
      <c r="O35" s="71">
        <v>0</v>
      </c>
      <c r="P35" s="71">
        <v>0</v>
      </c>
      <c r="Q35" s="76">
        <v>8</v>
      </c>
      <c r="R35" s="71">
        <v>32</v>
      </c>
      <c r="S35" s="71">
        <v>0</v>
      </c>
      <c r="T35" s="71">
        <v>0</v>
      </c>
      <c r="U35" s="71">
        <v>4</v>
      </c>
      <c r="V35" s="71">
        <v>16</v>
      </c>
      <c r="W35" s="76">
        <v>866</v>
      </c>
      <c r="X35" s="71">
        <v>100</v>
      </c>
    </row>
    <row r="36" spans="1:24" x14ac:dyDescent="0.3">
      <c r="A36" s="71" t="s">
        <v>51</v>
      </c>
      <c r="B36" s="76">
        <v>672</v>
      </c>
      <c r="C36" s="76">
        <v>2</v>
      </c>
      <c r="D36" s="71">
        <v>0.3</v>
      </c>
      <c r="E36" s="71">
        <v>13</v>
      </c>
      <c r="F36" s="71">
        <v>1.9</v>
      </c>
      <c r="G36" s="76">
        <v>45</v>
      </c>
      <c r="H36" s="71">
        <v>6.7</v>
      </c>
      <c r="I36" s="76">
        <v>131</v>
      </c>
      <c r="J36" s="71">
        <v>19.5</v>
      </c>
      <c r="K36" s="76">
        <v>471</v>
      </c>
      <c r="L36" s="71">
        <v>70.099999999999994</v>
      </c>
      <c r="M36" s="71">
        <v>0</v>
      </c>
      <c r="N36" s="71">
        <v>0</v>
      </c>
      <c r="O36" s="71">
        <v>10</v>
      </c>
      <c r="P36" s="71">
        <v>1.5</v>
      </c>
      <c r="Q36" s="76">
        <v>210</v>
      </c>
      <c r="R36" s="71">
        <v>31.2</v>
      </c>
      <c r="S36" s="71">
        <v>21</v>
      </c>
      <c r="T36" s="71">
        <v>3.1</v>
      </c>
      <c r="U36" s="71">
        <v>6</v>
      </c>
      <c r="V36" s="71">
        <v>0.9</v>
      </c>
      <c r="W36" s="76">
        <v>4873</v>
      </c>
      <c r="X36" s="71">
        <v>100</v>
      </c>
    </row>
    <row r="37" spans="1:24" x14ac:dyDescent="0.3">
      <c r="A37" s="71" t="s">
        <v>52</v>
      </c>
      <c r="B37" s="76">
        <v>58</v>
      </c>
      <c r="C37" s="76">
        <v>0</v>
      </c>
      <c r="D37" s="71">
        <v>0</v>
      </c>
      <c r="E37" s="71">
        <v>1</v>
      </c>
      <c r="F37" s="71">
        <v>1.7</v>
      </c>
      <c r="G37" s="76">
        <v>6</v>
      </c>
      <c r="H37" s="71">
        <v>10.3</v>
      </c>
      <c r="I37" s="76">
        <v>31</v>
      </c>
      <c r="J37" s="71">
        <v>53.4</v>
      </c>
      <c r="K37" s="76">
        <v>14</v>
      </c>
      <c r="L37" s="71">
        <v>24.2</v>
      </c>
      <c r="M37" s="71">
        <v>0</v>
      </c>
      <c r="N37" s="71">
        <v>0</v>
      </c>
      <c r="O37" s="71">
        <v>6</v>
      </c>
      <c r="P37" s="71">
        <v>10.3</v>
      </c>
      <c r="Q37" s="76">
        <v>17</v>
      </c>
      <c r="R37" s="71">
        <v>29.3</v>
      </c>
      <c r="S37" s="71">
        <v>1</v>
      </c>
      <c r="T37" s="71">
        <v>1.7</v>
      </c>
      <c r="U37" s="71">
        <v>2</v>
      </c>
      <c r="V37" s="71">
        <v>3.4</v>
      </c>
      <c r="W37" s="76">
        <v>2661</v>
      </c>
      <c r="X37" s="71">
        <v>100</v>
      </c>
    </row>
    <row r="38" spans="1:24" x14ac:dyDescent="0.3">
      <c r="A38" s="71" t="s">
        <v>53</v>
      </c>
      <c r="B38" s="76">
        <v>26</v>
      </c>
      <c r="C38" s="76">
        <v>4</v>
      </c>
      <c r="D38" s="71">
        <v>15.4</v>
      </c>
      <c r="E38" s="71">
        <v>0</v>
      </c>
      <c r="F38" s="71">
        <v>0</v>
      </c>
      <c r="G38" s="76">
        <v>3</v>
      </c>
      <c r="H38" s="71">
        <v>11.5</v>
      </c>
      <c r="I38" s="76">
        <v>2</v>
      </c>
      <c r="J38" s="71">
        <v>7.7</v>
      </c>
      <c r="K38" s="76">
        <v>17</v>
      </c>
      <c r="L38" s="71">
        <v>65.400000000000006</v>
      </c>
      <c r="M38" s="71">
        <v>0</v>
      </c>
      <c r="N38" s="71">
        <v>0</v>
      </c>
      <c r="O38" s="71">
        <v>0</v>
      </c>
      <c r="P38" s="71">
        <v>0</v>
      </c>
      <c r="Q38" s="76">
        <v>5</v>
      </c>
      <c r="R38" s="71">
        <v>19.2</v>
      </c>
      <c r="S38" s="71">
        <v>0</v>
      </c>
      <c r="T38" s="71">
        <v>0</v>
      </c>
      <c r="U38" s="71">
        <v>2</v>
      </c>
      <c r="V38" s="71">
        <v>7.7</v>
      </c>
      <c r="W38" s="76">
        <v>483</v>
      </c>
      <c r="X38" s="71">
        <v>100</v>
      </c>
    </row>
    <row r="39" spans="1:24" x14ac:dyDescent="0.3">
      <c r="A39" s="71" t="s">
        <v>54</v>
      </c>
      <c r="B39" s="76">
        <v>161</v>
      </c>
      <c r="C39" s="76">
        <v>0</v>
      </c>
      <c r="D39" s="71">
        <v>0</v>
      </c>
      <c r="E39" s="71">
        <v>0</v>
      </c>
      <c r="F39" s="71">
        <v>0</v>
      </c>
      <c r="G39" s="76">
        <v>3</v>
      </c>
      <c r="H39" s="71">
        <v>1.9</v>
      </c>
      <c r="I39" s="76">
        <v>56</v>
      </c>
      <c r="J39" s="71">
        <v>34.799999999999997</v>
      </c>
      <c r="K39" s="76">
        <v>96</v>
      </c>
      <c r="L39" s="71">
        <v>59.6</v>
      </c>
      <c r="M39" s="71">
        <v>0</v>
      </c>
      <c r="N39" s="71">
        <v>0</v>
      </c>
      <c r="O39" s="71">
        <v>6</v>
      </c>
      <c r="P39" s="71">
        <v>3.7</v>
      </c>
      <c r="Q39" s="76">
        <v>36</v>
      </c>
      <c r="R39" s="71">
        <v>22.4</v>
      </c>
      <c r="S39" s="71">
        <v>9</v>
      </c>
      <c r="T39" s="71">
        <v>5.6</v>
      </c>
      <c r="U39" s="71">
        <v>1</v>
      </c>
      <c r="V39" s="71">
        <v>0.6</v>
      </c>
      <c r="W39" s="76">
        <v>3593</v>
      </c>
      <c r="X39" s="71">
        <v>100</v>
      </c>
    </row>
    <row r="40" spans="1:24" x14ac:dyDescent="0.3">
      <c r="A40" s="71" t="s">
        <v>55</v>
      </c>
      <c r="B40" s="76">
        <v>171</v>
      </c>
      <c r="C40" s="76">
        <v>17</v>
      </c>
      <c r="D40" s="71">
        <v>9.9</v>
      </c>
      <c r="E40" s="71">
        <v>4</v>
      </c>
      <c r="F40" s="71">
        <v>2.2999999999999998</v>
      </c>
      <c r="G40" s="76">
        <v>18</v>
      </c>
      <c r="H40" s="71">
        <v>10.5</v>
      </c>
      <c r="I40" s="76">
        <v>37</v>
      </c>
      <c r="J40" s="71">
        <v>21.7</v>
      </c>
      <c r="K40" s="76">
        <v>83</v>
      </c>
      <c r="L40" s="71">
        <v>48.5</v>
      </c>
      <c r="M40" s="71">
        <v>0</v>
      </c>
      <c r="N40" s="71">
        <v>0</v>
      </c>
      <c r="O40" s="71">
        <v>12</v>
      </c>
      <c r="P40" s="71">
        <v>7</v>
      </c>
      <c r="Q40" s="76">
        <v>46</v>
      </c>
      <c r="R40" s="71">
        <v>26.9</v>
      </c>
      <c r="S40" s="71">
        <v>1</v>
      </c>
      <c r="T40" s="71">
        <v>0.6</v>
      </c>
      <c r="U40" s="71">
        <v>4</v>
      </c>
      <c r="V40" s="71">
        <v>2.2999999999999998</v>
      </c>
      <c r="W40" s="76">
        <v>1816</v>
      </c>
      <c r="X40" s="71">
        <v>100</v>
      </c>
    </row>
    <row r="41" spans="1:24" x14ac:dyDescent="0.3">
      <c r="A41" s="71" t="s">
        <v>56</v>
      </c>
      <c r="B41" s="76">
        <v>896</v>
      </c>
      <c r="C41" s="76">
        <v>6</v>
      </c>
      <c r="D41" s="71">
        <v>0.6</v>
      </c>
      <c r="E41" s="71">
        <v>8</v>
      </c>
      <c r="F41" s="71">
        <v>0.9</v>
      </c>
      <c r="G41" s="76">
        <v>326</v>
      </c>
      <c r="H41" s="71">
        <v>36.4</v>
      </c>
      <c r="I41" s="76">
        <v>31</v>
      </c>
      <c r="J41" s="71">
        <v>3.4</v>
      </c>
      <c r="K41" s="76">
        <v>448</v>
      </c>
      <c r="L41" s="71">
        <v>50</v>
      </c>
      <c r="M41" s="71">
        <v>24</v>
      </c>
      <c r="N41" s="71">
        <v>2.7</v>
      </c>
      <c r="O41" s="71">
        <v>53</v>
      </c>
      <c r="P41" s="71">
        <v>5.9</v>
      </c>
      <c r="Q41" s="76">
        <v>253</v>
      </c>
      <c r="R41" s="71">
        <v>28.3</v>
      </c>
      <c r="S41" s="71">
        <v>29</v>
      </c>
      <c r="T41" s="71">
        <v>3.2</v>
      </c>
      <c r="U41" s="71">
        <v>149</v>
      </c>
      <c r="V41" s="71">
        <v>16.7</v>
      </c>
      <c r="W41" s="76">
        <v>1289</v>
      </c>
      <c r="X41" s="71">
        <v>100</v>
      </c>
    </row>
    <row r="42" spans="1:24" x14ac:dyDescent="0.3">
      <c r="A42" s="71" t="s">
        <v>57</v>
      </c>
      <c r="B42" s="76">
        <v>572</v>
      </c>
      <c r="C42" s="76">
        <v>2</v>
      </c>
      <c r="D42" s="71">
        <v>0.3</v>
      </c>
      <c r="E42" s="71">
        <v>2</v>
      </c>
      <c r="F42" s="71">
        <v>0.3</v>
      </c>
      <c r="G42" s="76">
        <v>207</v>
      </c>
      <c r="H42" s="71">
        <v>36.200000000000003</v>
      </c>
      <c r="I42" s="76">
        <v>119</v>
      </c>
      <c r="J42" s="71">
        <v>20.9</v>
      </c>
      <c r="K42" s="76">
        <v>222</v>
      </c>
      <c r="L42" s="71">
        <v>38.799999999999997</v>
      </c>
      <c r="M42" s="71">
        <v>1</v>
      </c>
      <c r="N42" s="71">
        <v>0.2</v>
      </c>
      <c r="O42" s="71">
        <v>19</v>
      </c>
      <c r="P42" s="71">
        <v>3.3</v>
      </c>
      <c r="Q42" s="76">
        <v>194</v>
      </c>
      <c r="R42" s="71">
        <v>33.9</v>
      </c>
      <c r="S42" s="71">
        <v>11</v>
      </c>
      <c r="T42" s="71">
        <v>1.9</v>
      </c>
      <c r="U42" s="71">
        <v>45</v>
      </c>
      <c r="V42" s="71">
        <v>7.9</v>
      </c>
      <c r="W42" s="76">
        <v>3006</v>
      </c>
      <c r="X42" s="71">
        <v>100</v>
      </c>
    </row>
    <row r="43" spans="1:24" x14ac:dyDescent="0.3">
      <c r="A43" s="71" t="s">
        <v>58</v>
      </c>
      <c r="B43" s="76">
        <v>29</v>
      </c>
      <c r="C43" s="76">
        <v>0</v>
      </c>
      <c r="D43" s="71">
        <v>0</v>
      </c>
      <c r="E43" s="71">
        <v>0</v>
      </c>
      <c r="F43" s="71">
        <v>0</v>
      </c>
      <c r="G43" s="76">
        <v>4</v>
      </c>
      <c r="H43" s="71">
        <v>13.8</v>
      </c>
      <c r="I43" s="76">
        <v>3</v>
      </c>
      <c r="J43" s="71">
        <v>10.3</v>
      </c>
      <c r="K43" s="76">
        <v>22</v>
      </c>
      <c r="L43" s="71">
        <v>75.900000000000006</v>
      </c>
      <c r="M43" s="71">
        <v>0</v>
      </c>
      <c r="N43" s="71">
        <v>0</v>
      </c>
      <c r="O43" s="71">
        <v>0</v>
      </c>
      <c r="P43" s="71">
        <v>0</v>
      </c>
      <c r="Q43" s="76">
        <v>10</v>
      </c>
      <c r="R43" s="71">
        <v>34.4</v>
      </c>
      <c r="S43" s="71">
        <v>3</v>
      </c>
      <c r="T43" s="71">
        <v>10.3</v>
      </c>
      <c r="U43" s="71">
        <v>0</v>
      </c>
      <c r="V43" s="71">
        <v>0</v>
      </c>
      <c r="W43" s="76">
        <v>312</v>
      </c>
      <c r="X43" s="71">
        <v>100</v>
      </c>
    </row>
    <row r="44" spans="1:24" x14ac:dyDescent="0.3">
      <c r="A44" s="71" t="s">
        <v>59</v>
      </c>
      <c r="B44" s="76">
        <v>250</v>
      </c>
      <c r="C44" s="76">
        <v>0</v>
      </c>
      <c r="D44" s="71">
        <v>0</v>
      </c>
      <c r="E44" s="71">
        <v>2</v>
      </c>
      <c r="F44" s="71">
        <v>0.8</v>
      </c>
      <c r="G44" s="76">
        <v>7</v>
      </c>
      <c r="H44" s="71">
        <v>2.8</v>
      </c>
      <c r="I44" s="76">
        <v>190</v>
      </c>
      <c r="J44" s="71">
        <v>76</v>
      </c>
      <c r="K44" s="76">
        <v>48</v>
      </c>
      <c r="L44" s="71">
        <v>19.2</v>
      </c>
      <c r="M44" s="71">
        <v>0</v>
      </c>
      <c r="N44" s="71">
        <v>0</v>
      </c>
      <c r="O44" s="71">
        <v>3</v>
      </c>
      <c r="P44" s="71">
        <v>1.2</v>
      </c>
      <c r="Q44" s="76">
        <v>59</v>
      </c>
      <c r="R44" s="71">
        <v>23.6</v>
      </c>
      <c r="S44" s="71">
        <v>6</v>
      </c>
      <c r="T44" s="71">
        <v>2.4</v>
      </c>
      <c r="U44" s="71">
        <v>3</v>
      </c>
      <c r="V44" s="71">
        <v>1.2</v>
      </c>
      <c r="W44" s="76">
        <v>1243</v>
      </c>
      <c r="X44" s="71">
        <v>100</v>
      </c>
    </row>
    <row r="45" spans="1:24" x14ac:dyDescent="0.3">
      <c r="A45" s="71" t="s">
        <v>60</v>
      </c>
      <c r="B45" s="76">
        <v>42</v>
      </c>
      <c r="C45" s="76">
        <v>4</v>
      </c>
      <c r="D45" s="71">
        <v>9.5</v>
      </c>
      <c r="E45" s="71">
        <v>0</v>
      </c>
      <c r="F45" s="71">
        <v>0</v>
      </c>
      <c r="G45" s="76">
        <v>3</v>
      </c>
      <c r="H45" s="71">
        <v>7.2</v>
      </c>
      <c r="I45" s="76">
        <v>3</v>
      </c>
      <c r="J45" s="71">
        <v>7.2</v>
      </c>
      <c r="K45" s="76">
        <v>30</v>
      </c>
      <c r="L45" s="71">
        <v>71.400000000000006</v>
      </c>
      <c r="M45" s="71">
        <v>0</v>
      </c>
      <c r="N45" s="71">
        <v>0</v>
      </c>
      <c r="O45" s="71">
        <v>2</v>
      </c>
      <c r="P45" s="71">
        <v>4.7</v>
      </c>
      <c r="Q45" s="76">
        <v>17</v>
      </c>
      <c r="R45" s="71">
        <v>40.5</v>
      </c>
      <c r="S45" s="71">
        <v>1</v>
      </c>
      <c r="T45" s="71">
        <v>2.4</v>
      </c>
      <c r="U45" s="71">
        <v>0</v>
      </c>
      <c r="V45" s="71">
        <v>0</v>
      </c>
      <c r="W45" s="76">
        <v>698</v>
      </c>
      <c r="X45" s="71">
        <v>100</v>
      </c>
    </row>
    <row r="46" spans="1:24" x14ac:dyDescent="0.3">
      <c r="A46" s="71" t="s">
        <v>61</v>
      </c>
      <c r="B46" s="76">
        <v>124</v>
      </c>
      <c r="C46" s="76">
        <v>0</v>
      </c>
      <c r="D46" s="71">
        <v>0</v>
      </c>
      <c r="E46" s="71">
        <v>1</v>
      </c>
      <c r="F46" s="71">
        <v>0.8</v>
      </c>
      <c r="G46" s="76">
        <v>7</v>
      </c>
      <c r="H46" s="71">
        <v>5.6</v>
      </c>
      <c r="I46" s="76">
        <v>17</v>
      </c>
      <c r="J46" s="71">
        <v>13.7</v>
      </c>
      <c r="K46" s="76">
        <v>94</v>
      </c>
      <c r="L46" s="71">
        <v>75.8</v>
      </c>
      <c r="M46" s="71">
        <v>0</v>
      </c>
      <c r="N46" s="71">
        <v>0</v>
      </c>
      <c r="O46" s="71">
        <v>5</v>
      </c>
      <c r="P46" s="71">
        <v>4.0999999999999996</v>
      </c>
      <c r="Q46" s="76">
        <v>19</v>
      </c>
      <c r="R46" s="71">
        <v>15.3</v>
      </c>
      <c r="S46" s="71">
        <v>3</v>
      </c>
      <c r="T46" s="71">
        <v>2.4</v>
      </c>
      <c r="U46" s="71">
        <v>0</v>
      </c>
      <c r="V46" s="71">
        <v>0</v>
      </c>
      <c r="W46" s="76">
        <v>1777</v>
      </c>
      <c r="X46" s="71">
        <v>100</v>
      </c>
    </row>
    <row r="47" spans="1:24" x14ac:dyDescent="0.3">
      <c r="A47" s="71" t="s">
        <v>62</v>
      </c>
      <c r="B47" s="76">
        <v>325</v>
      </c>
      <c r="C47" s="76">
        <v>2</v>
      </c>
      <c r="D47" s="71">
        <v>0.6</v>
      </c>
      <c r="E47" s="71">
        <v>3</v>
      </c>
      <c r="F47" s="71">
        <v>0.9</v>
      </c>
      <c r="G47" s="76">
        <v>160</v>
      </c>
      <c r="H47" s="71">
        <v>49.3</v>
      </c>
      <c r="I47" s="76">
        <v>80</v>
      </c>
      <c r="J47" s="71">
        <v>24.6</v>
      </c>
      <c r="K47" s="76">
        <v>69</v>
      </c>
      <c r="L47" s="71">
        <v>21.3</v>
      </c>
      <c r="M47" s="71">
        <v>0</v>
      </c>
      <c r="N47" s="71">
        <v>0</v>
      </c>
      <c r="O47" s="71">
        <v>11</v>
      </c>
      <c r="P47" s="71">
        <v>3.4</v>
      </c>
      <c r="Q47" s="76">
        <v>69</v>
      </c>
      <c r="R47" s="71">
        <v>21.2</v>
      </c>
      <c r="S47" s="71">
        <v>29</v>
      </c>
      <c r="T47" s="71">
        <v>8.9</v>
      </c>
      <c r="U47" s="71">
        <v>60</v>
      </c>
      <c r="V47" s="71">
        <v>18.5</v>
      </c>
      <c r="W47" s="76">
        <v>8758</v>
      </c>
      <c r="X47" s="71">
        <v>100</v>
      </c>
    </row>
    <row r="48" spans="1:24" x14ac:dyDescent="0.3">
      <c r="A48" s="71" t="s">
        <v>63</v>
      </c>
      <c r="B48" s="76">
        <v>329</v>
      </c>
      <c r="C48" s="76">
        <v>15</v>
      </c>
      <c r="D48" s="71">
        <v>4.5999999999999996</v>
      </c>
      <c r="E48" s="71">
        <v>1</v>
      </c>
      <c r="F48" s="71">
        <v>0.3</v>
      </c>
      <c r="G48" s="76">
        <v>87</v>
      </c>
      <c r="H48" s="71">
        <v>26.4</v>
      </c>
      <c r="I48" s="76">
        <v>8</v>
      </c>
      <c r="J48" s="71">
        <v>2.4</v>
      </c>
      <c r="K48" s="76">
        <v>201</v>
      </c>
      <c r="L48" s="71">
        <v>61.1</v>
      </c>
      <c r="M48" s="71">
        <v>7</v>
      </c>
      <c r="N48" s="71">
        <v>2.2000000000000002</v>
      </c>
      <c r="O48" s="71">
        <v>10</v>
      </c>
      <c r="P48" s="71">
        <v>3.1</v>
      </c>
      <c r="Q48" s="76">
        <v>66</v>
      </c>
      <c r="R48" s="71">
        <v>20</v>
      </c>
      <c r="S48" s="71">
        <v>5</v>
      </c>
      <c r="T48" s="71">
        <v>1.5</v>
      </c>
      <c r="U48" s="71">
        <v>39</v>
      </c>
      <c r="V48" s="71">
        <v>11.9</v>
      </c>
      <c r="W48" s="76">
        <v>1029</v>
      </c>
      <c r="X48" s="71">
        <v>100</v>
      </c>
    </row>
    <row r="49" spans="1:24" x14ac:dyDescent="0.3">
      <c r="A49" s="71" t="s">
        <v>64</v>
      </c>
      <c r="B49" s="76">
        <v>102</v>
      </c>
      <c r="C49" s="76">
        <v>0</v>
      </c>
      <c r="D49" s="71">
        <v>0</v>
      </c>
      <c r="E49" s="71">
        <v>1</v>
      </c>
      <c r="F49" s="71">
        <v>1</v>
      </c>
      <c r="G49" s="76">
        <v>1</v>
      </c>
      <c r="H49" s="71">
        <v>1</v>
      </c>
      <c r="I49" s="76">
        <v>5</v>
      </c>
      <c r="J49" s="71">
        <v>5</v>
      </c>
      <c r="K49" s="76">
        <v>93</v>
      </c>
      <c r="L49" s="71">
        <v>91.2</v>
      </c>
      <c r="M49" s="71">
        <v>0</v>
      </c>
      <c r="N49" s="71">
        <v>0</v>
      </c>
      <c r="O49" s="71">
        <v>2</v>
      </c>
      <c r="P49" s="71">
        <v>1.9</v>
      </c>
      <c r="Q49" s="76">
        <v>27</v>
      </c>
      <c r="R49" s="71">
        <v>26.5</v>
      </c>
      <c r="S49" s="71">
        <v>7</v>
      </c>
      <c r="T49" s="71">
        <v>6.9</v>
      </c>
      <c r="U49" s="71">
        <v>0</v>
      </c>
      <c r="V49" s="71">
        <v>0</v>
      </c>
      <c r="W49" s="76">
        <v>302</v>
      </c>
      <c r="X49" s="71">
        <v>100</v>
      </c>
    </row>
    <row r="50" spans="1:24" x14ac:dyDescent="0.3">
      <c r="A50" s="71" t="s">
        <v>65</v>
      </c>
      <c r="B50" s="76">
        <v>160</v>
      </c>
      <c r="C50" s="76">
        <v>0</v>
      </c>
      <c r="D50" s="71">
        <v>0</v>
      </c>
      <c r="E50" s="71">
        <v>0</v>
      </c>
      <c r="F50" s="71">
        <v>0</v>
      </c>
      <c r="G50" s="76">
        <v>21</v>
      </c>
      <c r="H50" s="71">
        <v>13.1</v>
      </c>
      <c r="I50" s="76">
        <v>107</v>
      </c>
      <c r="J50" s="71">
        <v>66.8</v>
      </c>
      <c r="K50" s="76">
        <v>27</v>
      </c>
      <c r="L50" s="71">
        <v>16.899999999999999</v>
      </c>
      <c r="M50" s="71">
        <v>0</v>
      </c>
      <c r="N50" s="71">
        <v>0</v>
      </c>
      <c r="O50" s="71">
        <v>5</v>
      </c>
      <c r="P50" s="71">
        <v>3.1</v>
      </c>
      <c r="Q50" s="76">
        <v>50</v>
      </c>
      <c r="R50" s="71">
        <v>31.3</v>
      </c>
      <c r="S50" s="71">
        <v>1</v>
      </c>
      <c r="T50" s="71">
        <v>0.6</v>
      </c>
      <c r="U50" s="71">
        <v>13</v>
      </c>
      <c r="V50" s="71">
        <v>8.1</v>
      </c>
      <c r="W50" s="76">
        <v>1982</v>
      </c>
      <c r="X50" s="71">
        <v>98.4</v>
      </c>
    </row>
    <row r="51" spans="1:24" x14ac:dyDescent="0.3">
      <c r="A51" s="71" t="s">
        <v>66</v>
      </c>
      <c r="B51" s="76">
        <v>346</v>
      </c>
      <c r="C51" s="76">
        <v>7</v>
      </c>
      <c r="D51" s="71">
        <v>2</v>
      </c>
      <c r="E51" s="71">
        <v>5</v>
      </c>
      <c r="F51" s="71">
        <v>1.5</v>
      </c>
      <c r="G51" s="76">
        <v>76</v>
      </c>
      <c r="H51" s="71">
        <v>21.9</v>
      </c>
      <c r="I51" s="76">
        <v>42</v>
      </c>
      <c r="J51" s="71">
        <v>12.1</v>
      </c>
      <c r="K51" s="76">
        <v>190</v>
      </c>
      <c r="L51" s="71">
        <v>54.9</v>
      </c>
      <c r="M51" s="71">
        <v>4</v>
      </c>
      <c r="N51" s="71">
        <v>1.2</v>
      </c>
      <c r="O51" s="71">
        <v>22</v>
      </c>
      <c r="P51" s="71">
        <v>6.4</v>
      </c>
      <c r="Q51" s="76">
        <v>98</v>
      </c>
      <c r="R51" s="71">
        <v>28.3</v>
      </c>
      <c r="S51" s="71">
        <v>14</v>
      </c>
      <c r="T51" s="71">
        <v>4</v>
      </c>
      <c r="U51" s="71">
        <v>35</v>
      </c>
      <c r="V51" s="71">
        <v>10.1</v>
      </c>
      <c r="W51" s="76">
        <v>2339</v>
      </c>
      <c r="X51" s="71">
        <v>100</v>
      </c>
    </row>
    <row r="52" spans="1:24" x14ac:dyDescent="0.3">
      <c r="A52" s="71" t="s">
        <v>67</v>
      </c>
      <c r="B52" s="76">
        <v>39</v>
      </c>
      <c r="C52" s="76">
        <v>0</v>
      </c>
      <c r="D52" s="71">
        <v>0</v>
      </c>
      <c r="E52" s="71">
        <v>0</v>
      </c>
      <c r="F52" s="71">
        <v>0</v>
      </c>
      <c r="G52" s="76">
        <v>0</v>
      </c>
      <c r="H52" s="71">
        <v>0</v>
      </c>
      <c r="I52" s="76">
        <v>2</v>
      </c>
      <c r="J52" s="71">
        <v>5.0999999999999996</v>
      </c>
      <c r="K52" s="76">
        <v>36</v>
      </c>
      <c r="L52" s="71">
        <v>92.3</v>
      </c>
      <c r="M52" s="71">
        <v>0</v>
      </c>
      <c r="N52" s="71">
        <v>0</v>
      </c>
      <c r="O52" s="71">
        <v>1</v>
      </c>
      <c r="P52" s="71">
        <v>2.5</v>
      </c>
      <c r="Q52" s="76">
        <v>10</v>
      </c>
      <c r="R52" s="71">
        <v>25.7</v>
      </c>
      <c r="S52" s="71">
        <v>0</v>
      </c>
      <c r="T52" s="71">
        <v>0</v>
      </c>
      <c r="U52" s="71">
        <v>0</v>
      </c>
      <c r="V52" s="71">
        <v>0</v>
      </c>
      <c r="W52" s="76">
        <v>691</v>
      </c>
      <c r="X52" s="71">
        <v>100</v>
      </c>
    </row>
    <row r="53" spans="1:24" x14ac:dyDescent="0.3">
      <c r="A53" s="71" t="s">
        <v>68</v>
      </c>
      <c r="B53" s="76">
        <v>411</v>
      </c>
      <c r="C53" s="76">
        <v>4</v>
      </c>
      <c r="D53" s="71">
        <v>1</v>
      </c>
      <c r="E53" s="71">
        <v>1</v>
      </c>
      <c r="F53" s="71">
        <v>0.3</v>
      </c>
      <c r="G53" s="76">
        <v>48</v>
      </c>
      <c r="H53" s="71">
        <v>11.7</v>
      </c>
      <c r="I53" s="76">
        <v>50</v>
      </c>
      <c r="J53" s="71">
        <v>12.2</v>
      </c>
      <c r="K53" s="76">
        <v>295</v>
      </c>
      <c r="L53" s="71">
        <v>71.8</v>
      </c>
      <c r="M53" s="71">
        <v>1</v>
      </c>
      <c r="N53" s="71">
        <v>0.3</v>
      </c>
      <c r="O53" s="71">
        <v>12</v>
      </c>
      <c r="P53" s="71">
        <v>2.9</v>
      </c>
      <c r="Q53" s="76">
        <v>123</v>
      </c>
      <c r="R53" s="71">
        <v>29.9</v>
      </c>
      <c r="S53" s="71">
        <v>2</v>
      </c>
      <c r="T53" s="71">
        <v>0.5</v>
      </c>
      <c r="U53" s="71">
        <v>12</v>
      </c>
      <c r="V53" s="71">
        <v>2.9</v>
      </c>
      <c r="W53" s="76">
        <v>2235</v>
      </c>
      <c r="X53" s="71">
        <v>100</v>
      </c>
    </row>
    <row r="54" spans="1:24" x14ac:dyDescent="0.3">
      <c r="A54" s="71" t="s">
        <v>69</v>
      </c>
      <c r="B54" s="76">
        <v>25</v>
      </c>
      <c r="C54" s="76">
        <v>0</v>
      </c>
      <c r="D54" s="71">
        <v>0</v>
      </c>
      <c r="E54" s="71">
        <v>1</v>
      </c>
      <c r="F54" s="71">
        <v>4</v>
      </c>
      <c r="G54" s="76">
        <v>0</v>
      </c>
      <c r="H54" s="71">
        <v>0</v>
      </c>
      <c r="I54" s="76">
        <v>0</v>
      </c>
      <c r="J54" s="71">
        <v>0</v>
      </c>
      <c r="K54" s="76">
        <v>22</v>
      </c>
      <c r="L54" s="71">
        <v>88</v>
      </c>
      <c r="M54" s="71">
        <v>0</v>
      </c>
      <c r="N54" s="71">
        <v>0</v>
      </c>
      <c r="O54" s="71">
        <v>2</v>
      </c>
      <c r="P54" s="71">
        <v>8</v>
      </c>
      <c r="Q54" s="76">
        <v>2</v>
      </c>
      <c r="R54" s="71">
        <v>8</v>
      </c>
      <c r="S54" s="71">
        <v>2</v>
      </c>
      <c r="T54" s="71">
        <v>8</v>
      </c>
      <c r="U54" s="71">
        <v>0</v>
      </c>
      <c r="V54" s="71">
        <v>0</v>
      </c>
      <c r="W54" s="76">
        <v>366</v>
      </c>
      <c r="X54" s="71">
        <v>100</v>
      </c>
    </row>
    <row r="55" spans="1:24" x14ac:dyDescent="0.3">
      <c r="A55" s="71" t="s">
        <v>71</v>
      </c>
      <c r="B55" s="76">
        <v>0</v>
      </c>
      <c r="C55" s="76">
        <v>0</v>
      </c>
      <c r="D55" s="71">
        <v>0</v>
      </c>
      <c r="E55" s="71">
        <v>0</v>
      </c>
      <c r="F55" s="71">
        <v>0</v>
      </c>
      <c r="G55" s="76">
        <v>0</v>
      </c>
      <c r="H55" s="71">
        <v>0</v>
      </c>
      <c r="I55" s="76">
        <v>0</v>
      </c>
      <c r="J55" s="71">
        <v>0</v>
      </c>
      <c r="K55" s="76">
        <v>0</v>
      </c>
      <c r="L55" s="71">
        <v>0</v>
      </c>
      <c r="M55" s="71">
        <v>0</v>
      </c>
      <c r="N55" s="71">
        <v>0</v>
      </c>
      <c r="O55" s="71">
        <v>0</v>
      </c>
      <c r="P55" s="71">
        <v>0</v>
      </c>
      <c r="Q55" s="76">
        <v>0</v>
      </c>
      <c r="R55" s="71">
        <v>0</v>
      </c>
      <c r="S55" s="71">
        <v>0</v>
      </c>
      <c r="T55" s="71">
        <v>0</v>
      </c>
      <c r="U55" s="71">
        <v>0</v>
      </c>
      <c r="V55" s="71">
        <v>0</v>
      </c>
      <c r="W55" s="76">
        <v>1099</v>
      </c>
      <c r="X55" s="71">
        <v>0</v>
      </c>
    </row>
    <row r="56" spans="1:24" x14ac:dyDescent="0.3">
      <c r="B56" s="71" t="s">
        <v>77</v>
      </c>
    </row>
    <row r="57" spans="1:24" x14ac:dyDescent="0.3">
      <c r="B57" s="71" t="s">
        <v>73</v>
      </c>
    </row>
    <row r="58" spans="1:24" x14ac:dyDescent="0.3">
      <c r="B58" s="71" t="s">
        <v>70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07FC-C5E5-488F-9367-14A723E36029}">
  <dimension ref="A1:N53"/>
  <sheetViews>
    <sheetView topLeftCell="H1" zoomScale="57" zoomScaleNormal="57" workbookViewId="0">
      <selection activeCell="J7" sqref="J7"/>
    </sheetView>
  </sheetViews>
  <sheetFormatPr defaultRowHeight="13" x14ac:dyDescent="0.3"/>
  <cols>
    <col min="1" max="1" width="50" bestFit="1" customWidth="1"/>
    <col min="2" max="2" width="49.77734375" bestFit="1" customWidth="1"/>
    <col min="3" max="3" width="21" bestFit="1" customWidth="1"/>
    <col min="4" max="4" width="46.109375" bestFit="1" customWidth="1"/>
    <col min="5" max="5" width="42.44140625" bestFit="1" customWidth="1"/>
    <col min="6" max="6" width="21.109375" bestFit="1" customWidth="1"/>
    <col min="7" max="7" width="57.6640625" bestFit="1" customWidth="1"/>
    <col min="8" max="8" width="35" bestFit="1" customWidth="1"/>
    <col min="9" max="9" width="63.21875" bestFit="1" customWidth="1"/>
    <col min="10" max="11" width="44.33203125" bestFit="1" customWidth="1"/>
    <col min="12" max="12" width="24.44140625" bestFit="1" customWidth="1"/>
    <col min="13" max="13" width="29.33203125" bestFit="1" customWidth="1"/>
    <col min="14" max="14" width="75.88671875" bestFit="1" customWidth="1"/>
  </cols>
  <sheetData>
    <row r="1" spans="1:14" x14ac:dyDescent="0.3">
      <c r="A1" s="80" t="s">
        <v>92</v>
      </c>
      <c r="B1" t="s">
        <v>93</v>
      </c>
      <c r="C1" t="s">
        <v>100</v>
      </c>
      <c r="D1" t="s">
        <v>94</v>
      </c>
      <c r="E1" t="s">
        <v>101</v>
      </c>
      <c r="F1" t="s">
        <v>95</v>
      </c>
      <c r="G1" t="s">
        <v>102</v>
      </c>
      <c r="H1" t="s">
        <v>96</v>
      </c>
      <c r="I1" t="s">
        <v>97</v>
      </c>
      <c r="J1" t="s">
        <v>98</v>
      </c>
      <c r="K1" t="s">
        <v>99</v>
      </c>
      <c r="L1" t="s">
        <v>105</v>
      </c>
      <c r="M1" t="s">
        <v>106</v>
      </c>
      <c r="N1" t="s">
        <v>104</v>
      </c>
    </row>
    <row r="2" spans="1:14" x14ac:dyDescent="0.3">
      <c r="A2" s="81" t="s">
        <v>72</v>
      </c>
      <c r="B2" s="82">
        <v>1.7</v>
      </c>
      <c r="C2" s="82">
        <v>1.5</v>
      </c>
      <c r="D2" s="82">
        <v>21.9</v>
      </c>
      <c r="E2" s="82">
        <v>21.8</v>
      </c>
      <c r="F2" s="82">
        <v>48.7</v>
      </c>
      <c r="G2" s="82">
        <v>0.6</v>
      </c>
      <c r="H2" s="82">
        <v>3.9</v>
      </c>
      <c r="I2" s="82">
        <v>24</v>
      </c>
      <c r="J2" s="82">
        <v>7.3</v>
      </c>
      <c r="K2" s="82">
        <v>99.2</v>
      </c>
      <c r="L2" s="82">
        <v>12214</v>
      </c>
      <c r="M2" s="82">
        <v>97632</v>
      </c>
      <c r="N2" s="82">
        <v>3.1</v>
      </c>
    </row>
    <row r="3" spans="1:14" x14ac:dyDescent="0.3">
      <c r="A3" s="81" t="s">
        <v>19</v>
      </c>
      <c r="B3" s="82">
        <v>0</v>
      </c>
      <c r="C3" s="82">
        <v>1.9</v>
      </c>
      <c r="D3" s="82">
        <v>2.9</v>
      </c>
      <c r="E3" s="82">
        <v>47.7</v>
      </c>
      <c r="F3" s="82">
        <v>44.8</v>
      </c>
      <c r="G3" s="82">
        <v>0</v>
      </c>
      <c r="H3" s="82">
        <v>2.9</v>
      </c>
      <c r="I3" s="82">
        <v>17.2</v>
      </c>
      <c r="J3" s="82">
        <v>0</v>
      </c>
      <c r="K3" s="82">
        <v>94</v>
      </c>
      <c r="L3" s="82">
        <v>105</v>
      </c>
      <c r="M3" s="82">
        <v>1390</v>
      </c>
      <c r="N3" s="82">
        <v>1.9</v>
      </c>
    </row>
    <row r="4" spans="1:14" x14ac:dyDescent="0.3">
      <c r="A4" s="81" t="s">
        <v>20</v>
      </c>
      <c r="B4" s="82">
        <v>36.799999999999997</v>
      </c>
      <c r="C4" s="82">
        <v>23.7</v>
      </c>
      <c r="D4" s="82">
        <v>31.6</v>
      </c>
      <c r="E4" s="82">
        <v>2.7</v>
      </c>
      <c r="F4" s="82">
        <v>0</v>
      </c>
      <c r="G4" s="82">
        <v>5.3</v>
      </c>
      <c r="H4" s="82">
        <v>0</v>
      </c>
      <c r="I4" s="82">
        <v>5.3</v>
      </c>
      <c r="J4" s="82">
        <v>13.2</v>
      </c>
      <c r="K4" s="82">
        <v>100</v>
      </c>
      <c r="L4" s="82">
        <v>38</v>
      </c>
      <c r="M4" s="82">
        <v>506</v>
      </c>
      <c r="N4" s="82">
        <v>2.6</v>
      </c>
    </row>
    <row r="5" spans="1:14" x14ac:dyDescent="0.3">
      <c r="A5" s="81" t="s">
        <v>21</v>
      </c>
      <c r="B5" s="82">
        <v>6.5</v>
      </c>
      <c r="C5" s="82">
        <v>0.6</v>
      </c>
      <c r="D5" s="82">
        <v>38.5</v>
      </c>
      <c r="E5" s="82">
        <v>13.6</v>
      </c>
      <c r="F5" s="82">
        <v>38.799999999999997</v>
      </c>
      <c r="G5" s="82">
        <v>0.3</v>
      </c>
      <c r="H5" s="82">
        <v>1.9</v>
      </c>
      <c r="I5" s="82">
        <v>16.600000000000001</v>
      </c>
      <c r="J5" s="82">
        <v>3</v>
      </c>
      <c r="K5" s="82">
        <v>100</v>
      </c>
      <c r="L5" s="82">
        <v>369</v>
      </c>
      <c r="M5" s="82">
        <v>2000</v>
      </c>
      <c r="N5" s="82">
        <v>3.2</v>
      </c>
    </row>
    <row r="6" spans="1:14" x14ac:dyDescent="0.3">
      <c r="A6" s="81" t="s">
        <v>22</v>
      </c>
      <c r="B6" s="82">
        <v>0</v>
      </c>
      <c r="C6" s="82">
        <v>0</v>
      </c>
      <c r="D6" s="82">
        <v>6.2</v>
      </c>
      <c r="E6" s="82">
        <v>26.8</v>
      </c>
      <c r="F6" s="82">
        <v>62.9</v>
      </c>
      <c r="G6" s="82">
        <v>0</v>
      </c>
      <c r="H6" s="82">
        <v>4.0999999999999996</v>
      </c>
      <c r="I6" s="82">
        <v>24.7</v>
      </c>
      <c r="J6" s="82">
        <v>4.2</v>
      </c>
      <c r="K6" s="82">
        <v>100</v>
      </c>
      <c r="L6" s="82">
        <v>97</v>
      </c>
      <c r="M6" s="82">
        <v>1088</v>
      </c>
      <c r="N6" s="82">
        <v>3.1</v>
      </c>
    </row>
    <row r="7" spans="1:14" x14ac:dyDescent="0.3">
      <c r="A7" s="81" t="s">
        <v>23</v>
      </c>
      <c r="B7" s="82">
        <v>1.3</v>
      </c>
      <c r="C7" s="82">
        <v>2.8</v>
      </c>
      <c r="D7" s="82">
        <v>52.3</v>
      </c>
      <c r="E7" s="82">
        <v>15.5</v>
      </c>
      <c r="F7" s="82">
        <v>23.5</v>
      </c>
      <c r="G7" s="82">
        <v>0.6</v>
      </c>
      <c r="H7" s="82">
        <v>4.2</v>
      </c>
      <c r="I7" s="82">
        <v>18.100000000000001</v>
      </c>
      <c r="J7" s="82">
        <v>17.600000000000001</v>
      </c>
      <c r="K7" s="82">
        <v>99.2</v>
      </c>
      <c r="L7" s="82">
        <v>1356</v>
      </c>
      <c r="M7" s="82">
        <v>10121</v>
      </c>
      <c r="N7" s="82">
        <v>2</v>
      </c>
    </row>
    <row r="8" spans="1:14" x14ac:dyDescent="0.3">
      <c r="A8" s="81" t="s">
        <v>24</v>
      </c>
      <c r="B8" s="82">
        <v>0</v>
      </c>
      <c r="C8" s="82">
        <v>0</v>
      </c>
      <c r="D8" s="82">
        <v>28.3</v>
      </c>
      <c r="E8" s="82">
        <v>1.9</v>
      </c>
      <c r="F8" s="82">
        <v>66</v>
      </c>
      <c r="G8" s="82">
        <v>0</v>
      </c>
      <c r="H8" s="82">
        <v>3.8</v>
      </c>
      <c r="I8" s="82">
        <v>17</v>
      </c>
      <c r="J8" s="82">
        <v>7.6</v>
      </c>
      <c r="K8" s="82">
        <v>100</v>
      </c>
      <c r="L8" s="82">
        <v>53</v>
      </c>
      <c r="M8" s="82">
        <v>1908</v>
      </c>
      <c r="N8" s="82">
        <v>3.8</v>
      </c>
    </row>
    <row r="9" spans="1:14" x14ac:dyDescent="0.3">
      <c r="A9" s="81" t="s">
        <v>25</v>
      </c>
      <c r="B9" s="82">
        <v>0</v>
      </c>
      <c r="C9" s="82">
        <v>2.2999999999999998</v>
      </c>
      <c r="D9" s="82">
        <v>31.9</v>
      </c>
      <c r="E9" s="82">
        <v>8</v>
      </c>
      <c r="F9" s="82">
        <v>56.9</v>
      </c>
      <c r="G9" s="82">
        <v>0</v>
      </c>
      <c r="H9" s="82">
        <v>1.1000000000000001</v>
      </c>
      <c r="I9" s="82">
        <v>31.8</v>
      </c>
      <c r="J9" s="82">
        <v>1.1000000000000001</v>
      </c>
      <c r="K9" s="82">
        <v>100</v>
      </c>
      <c r="L9" s="82">
        <v>88</v>
      </c>
      <c r="M9" s="82">
        <v>1214</v>
      </c>
      <c r="N9" s="82">
        <v>10.3</v>
      </c>
    </row>
    <row r="10" spans="1:14" x14ac:dyDescent="0.3">
      <c r="A10" s="81" t="s">
        <v>26</v>
      </c>
      <c r="B10" s="82">
        <v>0</v>
      </c>
      <c r="C10" s="82">
        <v>0</v>
      </c>
      <c r="D10" s="82">
        <v>0</v>
      </c>
      <c r="E10" s="82">
        <v>14.3</v>
      </c>
      <c r="F10" s="82">
        <v>85.7</v>
      </c>
      <c r="G10" s="82">
        <v>0</v>
      </c>
      <c r="H10" s="82">
        <v>0</v>
      </c>
      <c r="I10" s="82">
        <v>28.5</v>
      </c>
      <c r="J10" s="82">
        <v>0</v>
      </c>
      <c r="K10" s="82">
        <v>100</v>
      </c>
      <c r="L10" s="82">
        <v>7</v>
      </c>
      <c r="M10" s="82">
        <v>231</v>
      </c>
      <c r="N10" s="82">
        <v>0</v>
      </c>
    </row>
    <row r="11" spans="1:14" x14ac:dyDescent="0.3">
      <c r="A11" s="81" t="s">
        <v>27</v>
      </c>
      <c r="B11" s="82">
        <v>0</v>
      </c>
      <c r="C11" s="82">
        <v>0</v>
      </c>
      <c r="D11" s="82">
        <v>16.7</v>
      </c>
      <c r="E11" s="82">
        <v>66.7</v>
      </c>
      <c r="F11" s="82">
        <v>16.7</v>
      </c>
      <c r="G11" s="82">
        <v>0</v>
      </c>
      <c r="H11" s="82">
        <v>0</v>
      </c>
      <c r="I11" s="82">
        <v>0</v>
      </c>
      <c r="J11" s="82">
        <v>16.7</v>
      </c>
      <c r="K11" s="82">
        <v>99.6</v>
      </c>
      <c r="L11" s="82">
        <v>6</v>
      </c>
      <c r="M11" s="82">
        <v>228</v>
      </c>
      <c r="N11" s="82">
        <v>0</v>
      </c>
    </row>
    <row r="12" spans="1:14" x14ac:dyDescent="0.3">
      <c r="A12" s="81" t="s">
        <v>28</v>
      </c>
      <c r="B12" s="82">
        <v>0</v>
      </c>
      <c r="C12" s="82">
        <v>0.5</v>
      </c>
      <c r="D12" s="82">
        <v>22.2</v>
      </c>
      <c r="E12" s="82">
        <v>37.4</v>
      </c>
      <c r="F12" s="82">
        <v>34.5</v>
      </c>
      <c r="G12" s="82">
        <v>0</v>
      </c>
      <c r="H12" s="82">
        <v>5.4</v>
      </c>
      <c r="I12" s="82">
        <v>37.4</v>
      </c>
      <c r="J12" s="82">
        <v>3.4</v>
      </c>
      <c r="K12" s="82">
        <v>100</v>
      </c>
      <c r="L12" s="82">
        <v>203</v>
      </c>
      <c r="M12" s="82">
        <v>3976</v>
      </c>
      <c r="N12" s="82">
        <v>8.4</v>
      </c>
    </row>
    <row r="13" spans="1:14" x14ac:dyDescent="0.3">
      <c r="A13" s="81" t="s">
        <v>29</v>
      </c>
      <c r="B13" s="82">
        <v>0</v>
      </c>
      <c r="C13" s="82">
        <v>0</v>
      </c>
      <c r="D13" s="82">
        <v>10.7</v>
      </c>
      <c r="E13" s="82">
        <v>57.2</v>
      </c>
      <c r="F13" s="82">
        <v>28.3</v>
      </c>
      <c r="G13" s="82">
        <v>0</v>
      </c>
      <c r="H13" s="82">
        <v>3.8</v>
      </c>
      <c r="I13" s="82">
        <v>25.1</v>
      </c>
      <c r="J13" s="82">
        <v>2.5</v>
      </c>
      <c r="K13" s="82">
        <v>100</v>
      </c>
      <c r="L13" s="82">
        <v>159</v>
      </c>
      <c r="M13" s="82">
        <v>2416</v>
      </c>
      <c r="N13" s="82">
        <v>2.5</v>
      </c>
    </row>
    <row r="14" spans="1:14" x14ac:dyDescent="0.3">
      <c r="A14" s="81" t="s">
        <v>30</v>
      </c>
      <c r="B14" s="82">
        <v>0</v>
      </c>
      <c r="C14" s="82">
        <v>14.7</v>
      </c>
      <c r="D14" s="82">
        <v>14.7</v>
      </c>
      <c r="E14" s="82">
        <v>0</v>
      </c>
      <c r="F14" s="82">
        <v>3</v>
      </c>
      <c r="G14" s="82">
        <v>55.9</v>
      </c>
      <c r="H14" s="82">
        <v>11.8</v>
      </c>
      <c r="I14" s="82">
        <v>67.599999999999994</v>
      </c>
      <c r="J14" s="82">
        <v>67.599999999999994</v>
      </c>
      <c r="K14" s="82">
        <v>100</v>
      </c>
      <c r="L14" s="82">
        <v>34</v>
      </c>
      <c r="M14" s="82">
        <v>292</v>
      </c>
      <c r="N14" s="82">
        <v>67.599999999999994</v>
      </c>
    </row>
    <row r="15" spans="1:14" x14ac:dyDescent="0.3">
      <c r="A15" s="81" t="s">
        <v>31</v>
      </c>
      <c r="B15" s="82">
        <v>8.5</v>
      </c>
      <c r="C15" s="82">
        <v>0</v>
      </c>
      <c r="D15" s="82">
        <v>24.4</v>
      </c>
      <c r="E15" s="82">
        <v>0</v>
      </c>
      <c r="F15" s="82">
        <v>67</v>
      </c>
      <c r="G15" s="82">
        <v>0</v>
      </c>
      <c r="H15" s="82">
        <v>0</v>
      </c>
      <c r="I15" s="82">
        <v>15.9</v>
      </c>
      <c r="J15" s="82">
        <v>2.4</v>
      </c>
      <c r="K15" s="82">
        <v>100</v>
      </c>
      <c r="L15" s="82">
        <v>82</v>
      </c>
      <c r="M15" s="82">
        <v>725</v>
      </c>
      <c r="N15" s="82">
        <v>2.4</v>
      </c>
    </row>
    <row r="16" spans="1:14" x14ac:dyDescent="0.3">
      <c r="A16" s="81" t="s">
        <v>32</v>
      </c>
      <c r="B16" s="82">
        <v>0</v>
      </c>
      <c r="C16" s="82">
        <v>2.4</v>
      </c>
      <c r="D16" s="82">
        <v>17.399999999999999</v>
      </c>
      <c r="E16" s="82">
        <v>33.200000000000003</v>
      </c>
      <c r="F16" s="82">
        <v>42.2</v>
      </c>
      <c r="G16" s="82">
        <v>0</v>
      </c>
      <c r="H16" s="82">
        <v>4.9000000000000004</v>
      </c>
      <c r="I16" s="82">
        <v>19.100000000000001</v>
      </c>
      <c r="J16" s="82">
        <v>7.5</v>
      </c>
      <c r="K16" s="82">
        <v>87.2</v>
      </c>
      <c r="L16" s="82">
        <v>714</v>
      </c>
      <c r="M16" s="82">
        <v>4145</v>
      </c>
      <c r="N16" s="82">
        <v>2.1</v>
      </c>
    </row>
    <row r="17" spans="1:14" x14ac:dyDescent="0.3">
      <c r="A17" s="81" t="s">
        <v>33</v>
      </c>
      <c r="B17" s="82">
        <v>0</v>
      </c>
      <c r="C17" s="82">
        <v>0</v>
      </c>
      <c r="D17" s="82">
        <v>14.8</v>
      </c>
      <c r="E17" s="82">
        <v>37.5</v>
      </c>
      <c r="F17" s="82">
        <v>43.6</v>
      </c>
      <c r="G17" s="82">
        <v>0</v>
      </c>
      <c r="H17" s="82">
        <v>3.9</v>
      </c>
      <c r="I17" s="82">
        <v>12.6</v>
      </c>
      <c r="J17" s="82">
        <v>4</v>
      </c>
      <c r="K17" s="82">
        <v>100</v>
      </c>
      <c r="L17" s="82">
        <v>229</v>
      </c>
      <c r="M17" s="82">
        <v>1886</v>
      </c>
      <c r="N17" s="82">
        <v>0.9</v>
      </c>
    </row>
    <row r="18" spans="1:14" x14ac:dyDescent="0.3">
      <c r="A18" s="81" t="s">
        <v>34</v>
      </c>
      <c r="B18" s="82">
        <v>0</v>
      </c>
      <c r="C18" s="82">
        <v>0.8</v>
      </c>
      <c r="D18" s="82">
        <v>11.4</v>
      </c>
      <c r="E18" s="82">
        <v>9.1999999999999993</v>
      </c>
      <c r="F18" s="82">
        <v>76.400000000000006</v>
      </c>
      <c r="G18" s="82">
        <v>0.8</v>
      </c>
      <c r="H18" s="82">
        <v>1.6</v>
      </c>
      <c r="I18" s="82">
        <v>25.9</v>
      </c>
      <c r="J18" s="82">
        <v>6.8</v>
      </c>
      <c r="K18" s="82">
        <v>100</v>
      </c>
      <c r="L18" s="82">
        <v>131</v>
      </c>
      <c r="M18" s="82">
        <v>1343</v>
      </c>
      <c r="N18" s="82">
        <v>1.5</v>
      </c>
    </row>
    <row r="19" spans="1:14" x14ac:dyDescent="0.3">
      <c r="A19" s="81" t="s">
        <v>35</v>
      </c>
      <c r="B19" s="82">
        <v>0.9</v>
      </c>
      <c r="C19" s="82">
        <v>0.9</v>
      </c>
      <c r="D19" s="82">
        <v>11.8</v>
      </c>
      <c r="E19" s="82">
        <v>3.3</v>
      </c>
      <c r="F19" s="82">
        <v>77.3</v>
      </c>
      <c r="G19" s="82">
        <v>0</v>
      </c>
      <c r="H19" s="82">
        <v>5.9</v>
      </c>
      <c r="I19" s="82">
        <v>27.8</v>
      </c>
      <c r="J19" s="82">
        <v>3.3</v>
      </c>
      <c r="K19" s="82">
        <v>100</v>
      </c>
      <c r="L19" s="82">
        <v>119</v>
      </c>
      <c r="M19" s="82">
        <v>1350</v>
      </c>
      <c r="N19" s="82">
        <v>0.9</v>
      </c>
    </row>
    <row r="20" spans="1:14" x14ac:dyDescent="0.3">
      <c r="A20" s="81" t="s">
        <v>36</v>
      </c>
      <c r="B20" s="82">
        <v>0</v>
      </c>
      <c r="C20" s="82">
        <v>0.7</v>
      </c>
      <c r="D20" s="82">
        <v>3.6</v>
      </c>
      <c r="E20" s="82">
        <v>32.799999999999997</v>
      </c>
      <c r="F20" s="82">
        <v>54</v>
      </c>
      <c r="G20" s="82">
        <v>0</v>
      </c>
      <c r="H20" s="82">
        <v>8.8000000000000007</v>
      </c>
      <c r="I20" s="82">
        <v>13.2</v>
      </c>
      <c r="J20" s="82">
        <v>2.2000000000000002</v>
      </c>
      <c r="K20" s="82">
        <v>100</v>
      </c>
      <c r="L20" s="82">
        <v>137</v>
      </c>
      <c r="M20" s="82">
        <v>1401</v>
      </c>
      <c r="N20" s="82">
        <v>2.9</v>
      </c>
    </row>
    <row r="21" spans="1:14" x14ac:dyDescent="0.3">
      <c r="A21" s="81" t="s">
        <v>37</v>
      </c>
      <c r="B21" s="82">
        <v>2.7</v>
      </c>
      <c r="C21" s="82">
        <v>0</v>
      </c>
      <c r="D21" s="82">
        <v>10.8</v>
      </c>
      <c r="E21" s="82">
        <v>59.4</v>
      </c>
      <c r="F21" s="82">
        <v>24.4</v>
      </c>
      <c r="G21" s="82">
        <v>0</v>
      </c>
      <c r="H21" s="82">
        <v>2.7</v>
      </c>
      <c r="I21" s="82">
        <v>27.1</v>
      </c>
      <c r="J21" s="82">
        <v>2.7</v>
      </c>
      <c r="K21" s="82">
        <v>100</v>
      </c>
      <c r="L21" s="82">
        <v>37</v>
      </c>
      <c r="M21" s="82">
        <v>1365</v>
      </c>
      <c r="N21" s="82">
        <v>21.6</v>
      </c>
    </row>
    <row r="22" spans="1:14" x14ac:dyDescent="0.3">
      <c r="A22" s="81" t="s">
        <v>38</v>
      </c>
      <c r="B22" s="82">
        <v>0</v>
      </c>
      <c r="C22" s="82">
        <v>0</v>
      </c>
      <c r="D22" s="82">
        <v>1.6</v>
      </c>
      <c r="E22" s="82">
        <v>6.3</v>
      </c>
      <c r="F22" s="82">
        <v>87.3</v>
      </c>
      <c r="G22" s="82">
        <v>0</v>
      </c>
      <c r="H22" s="82">
        <v>4.7</v>
      </c>
      <c r="I22" s="82">
        <v>30.1</v>
      </c>
      <c r="J22" s="82">
        <v>0</v>
      </c>
      <c r="K22" s="82">
        <v>100</v>
      </c>
      <c r="L22" s="82">
        <v>63</v>
      </c>
      <c r="M22" s="82">
        <v>579</v>
      </c>
      <c r="N22" s="82">
        <v>1.6</v>
      </c>
    </row>
    <row r="23" spans="1:14" x14ac:dyDescent="0.3">
      <c r="A23" s="81" t="s">
        <v>39</v>
      </c>
      <c r="B23" s="82">
        <v>0</v>
      </c>
      <c r="C23" s="82">
        <v>1.9</v>
      </c>
      <c r="D23" s="82">
        <v>4.8</v>
      </c>
      <c r="E23" s="82">
        <v>38.5</v>
      </c>
      <c r="F23" s="82">
        <v>50</v>
      </c>
      <c r="G23" s="82">
        <v>0</v>
      </c>
      <c r="H23" s="82">
        <v>4.8</v>
      </c>
      <c r="I23" s="82">
        <v>16.3</v>
      </c>
      <c r="J23" s="82">
        <v>2.9</v>
      </c>
      <c r="K23" s="82">
        <v>100</v>
      </c>
      <c r="L23" s="82">
        <v>104</v>
      </c>
      <c r="M23" s="82">
        <v>1414</v>
      </c>
      <c r="N23" s="82">
        <v>3.8</v>
      </c>
    </row>
    <row r="24" spans="1:14" x14ac:dyDescent="0.3">
      <c r="A24" s="81" t="s">
        <v>40</v>
      </c>
      <c r="B24" s="82">
        <v>1.3</v>
      </c>
      <c r="C24" s="82">
        <v>1.3</v>
      </c>
      <c r="D24" s="82">
        <v>19.399999999999999</v>
      </c>
      <c r="E24" s="82">
        <v>19.3</v>
      </c>
      <c r="F24" s="82">
        <v>55.5</v>
      </c>
      <c r="G24" s="82">
        <v>0</v>
      </c>
      <c r="H24" s="82">
        <v>3.2</v>
      </c>
      <c r="I24" s="82">
        <v>28.4</v>
      </c>
      <c r="J24" s="82">
        <v>11.6</v>
      </c>
      <c r="K24" s="82">
        <v>99</v>
      </c>
      <c r="L24" s="82">
        <v>155</v>
      </c>
      <c r="M24" s="82">
        <v>1870</v>
      </c>
      <c r="N24" s="82">
        <v>6.4</v>
      </c>
    </row>
    <row r="25" spans="1:14" x14ac:dyDescent="0.3">
      <c r="A25" s="81" t="s">
        <v>41</v>
      </c>
      <c r="B25" s="82">
        <v>1.1000000000000001</v>
      </c>
      <c r="C25" s="82">
        <v>1</v>
      </c>
      <c r="D25" s="82">
        <v>6.3</v>
      </c>
      <c r="E25" s="82">
        <v>15.8</v>
      </c>
      <c r="F25" s="82">
        <v>71.099999999999994</v>
      </c>
      <c r="G25" s="82">
        <v>0.2</v>
      </c>
      <c r="H25" s="82">
        <v>4.7</v>
      </c>
      <c r="I25" s="82">
        <v>21.2</v>
      </c>
      <c r="J25" s="82">
        <v>4.5</v>
      </c>
      <c r="K25" s="82">
        <v>100</v>
      </c>
      <c r="L25" s="82">
        <v>578</v>
      </c>
      <c r="M25" s="82">
        <v>3559</v>
      </c>
      <c r="N25" s="82">
        <v>3.3</v>
      </c>
    </row>
    <row r="26" spans="1:14" x14ac:dyDescent="0.3">
      <c r="A26" s="81" t="s">
        <v>42</v>
      </c>
      <c r="B26" s="82">
        <v>8.1</v>
      </c>
      <c r="C26" s="82">
        <v>2.6</v>
      </c>
      <c r="D26" s="82">
        <v>10.3</v>
      </c>
      <c r="E26" s="82">
        <v>27.8</v>
      </c>
      <c r="F26" s="82">
        <v>46.9</v>
      </c>
      <c r="G26" s="82">
        <v>0</v>
      </c>
      <c r="H26" s="82">
        <v>4.4000000000000004</v>
      </c>
      <c r="I26" s="82">
        <v>25.9</v>
      </c>
      <c r="J26" s="82">
        <v>9</v>
      </c>
      <c r="K26" s="82">
        <v>100</v>
      </c>
      <c r="L26" s="82">
        <v>544</v>
      </c>
      <c r="M26" s="82">
        <v>2232</v>
      </c>
      <c r="N26" s="82">
        <v>1.8</v>
      </c>
    </row>
    <row r="27" spans="1:14" x14ac:dyDescent="0.3">
      <c r="A27" s="81" t="s">
        <v>43</v>
      </c>
      <c r="B27" s="82">
        <v>0</v>
      </c>
      <c r="C27" s="82">
        <v>1.4</v>
      </c>
      <c r="D27" s="82">
        <v>0</v>
      </c>
      <c r="E27" s="82">
        <v>54.2</v>
      </c>
      <c r="F27" s="82">
        <v>44.4</v>
      </c>
      <c r="G27" s="82">
        <v>0</v>
      </c>
      <c r="H27" s="82">
        <v>0</v>
      </c>
      <c r="I27" s="82">
        <v>30.6</v>
      </c>
      <c r="J27" s="82">
        <v>0</v>
      </c>
      <c r="K27" s="82">
        <v>100</v>
      </c>
      <c r="L27" s="82">
        <v>72</v>
      </c>
      <c r="M27" s="82">
        <v>960</v>
      </c>
      <c r="N27" s="82">
        <v>0</v>
      </c>
    </row>
    <row r="28" spans="1:14" x14ac:dyDescent="0.3">
      <c r="A28" s="81" t="s">
        <v>44</v>
      </c>
      <c r="B28" s="82">
        <v>0.2</v>
      </c>
      <c r="C28" s="82">
        <v>0.4</v>
      </c>
      <c r="D28" s="82">
        <v>4</v>
      </c>
      <c r="E28" s="82">
        <v>38</v>
      </c>
      <c r="F28" s="82">
        <v>53.7</v>
      </c>
      <c r="G28" s="82">
        <v>0.2</v>
      </c>
      <c r="H28" s="82">
        <v>3.4</v>
      </c>
      <c r="I28" s="82">
        <v>21.1</v>
      </c>
      <c r="J28" s="82">
        <v>2.1</v>
      </c>
      <c r="K28" s="82">
        <v>100</v>
      </c>
      <c r="L28" s="82">
        <v>473</v>
      </c>
      <c r="M28" s="82">
        <v>2381</v>
      </c>
      <c r="N28" s="82">
        <v>2.2999999999999998</v>
      </c>
    </row>
    <row r="29" spans="1:14" x14ac:dyDescent="0.3">
      <c r="A29" s="81" t="s">
        <v>45</v>
      </c>
      <c r="B29" s="82">
        <v>10.6</v>
      </c>
      <c r="C29" s="82">
        <v>1.3</v>
      </c>
      <c r="D29" s="82">
        <v>2.7</v>
      </c>
      <c r="E29" s="82">
        <v>5.3</v>
      </c>
      <c r="F29" s="82">
        <v>77.400000000000006</v>
      </c>
      <c r="G29" s="82">
        <v>0</v>
      </c>
      <c r="H29" s="82">
        <v>2.7</v>
      </c>
      <c r="I29" s="82">
        <v>13.4</v>
      </c>
      <c r="J29" s="82">
        <v>0</v>
      </c>
      <c r="K29" s="82">
        <v>96.2</v>
      </c>
      <c r="L29" s="82">
        <v>75</v>
      </c>
      <c r="M29" s="82">
        <v>823</v>
      </c>
      <c r="N29" s="82">
        <v>1.3</v>
      </c>
    </row>
    <row r="30" spans="1:14" x14ac:dyDescent="0.3">
      <c r="A30" s="81" t="s">
        <v>46</v>
      </c>
      <c r="B30" s="82">
        <v>1.2</v>
      </c>
      <c r="C30" s="82">
        <v>0</v>
      </c>
      <c r="D30" s="82">
        <v>17.399999999999999</v>
      </c>
      <c r="E30" s="82">
        <v>20.5</v>
      </c>
      <c r="F30" s="82">
        <v>53.4</v>
      </c>
      <c r="G30" s="82">
        <v>0</v>
      </c>
      <c r="H30" s="82">
        <v>7.4</v>
      </c>
      <c r="I30" s="82">
        <v>27.3</v>
      </c>
      <c r="J30" s="82">
        <v>0</v>
      </c>
      <c r="K30" s="82">
        <v>100</v>
      </c>
      <c r="L30" s="82">
        <v>161</v>
      </c>
      <c r="M30" s="82">
        <v>1055</v>
      </c>
      <c r="N30" s="82">
        <v>1.9</v>
      </c>
    </row>
    <row r="31" spans="1:14" x14ac:dyDescent="0.3">
      <c r="A31" s="81" t="s">
        <v>47</v>
      </c>
      <c r="B31" s="82">
        <v>8.3000000000000007</v>
      </c>
      <c r="C31" s="82">
        <v>0</v>
      </c>
      <c r="D31" s="82">
        <v>37.5</v>
      </c>
      <c r="E31" s="82">
        <v>4.2</v>
      </c>
      <c r="F31" s="82">
        <v>50</v>
      </c>
      <c r="G31" s="82">
        <v>0</v>
      </c>
      <c r="H31" s="82">
        <v>0</v>
      </c>
      <c r="I31" s="82">
        <v>16.600000000000001</v>
      </c>
      <c r="J31" s="82">
        <v>29.2</v>
      </c>
      <c r="K31" s="82">
        <v>100</v>
      </c>
      <c r="L31" s="82">
        <v>24</v>
      </c>
      <c r="M31" s="82">
        <v>704</v>
      </c>
      <c r="N31" s="82">
        <v>8.3000000000000007</v>
      </c>
    </row>
    <row r="32" spans="1:14" x14ac:dyDescent="0.3">
      <c r="A32" s="81" t="s">
        <v>48</v>
      </c>
      <c r="B32" s="82">
        <v>1</v>
      </c>
      <c r="C32" s="82">
        <v>1.9</v>
      </c>
      <c r="D32" s="82">
        <v>1.9</v>
      </c>
      <c r="E32" s="82">
        <v>4.7</v>
      </c>
      <c r="F32" s="82">
        <v>86.7</v>
      </c>
      <c r="G32" s="82">
        <v>1</v>
      </c>
      <c r="H32" s="82">
        <v>2.9</v>
      </c>
      <c r="I32" s="82">
        <v>18</v>
      </c>
      <c r="J32" s="82">
        <v>0</v>
      </c>
      <c r="K32" s="82">
        <v>100</v>
      </c>
      <c r="L32" s="82">
        <v>106</v>
      </c>
      <c r="M32" s="82">
        <v>491</v>
      </c>
      <c r="N32" s="82">
        <v>8.5</v>
      </c>
    </row>
    <row r="33" spans="1:14" x14ac:dyDescent="0.3">
      <c r="A33" s="81" t="s">
        <v>49</v>
      </c>
      <c r="B33" s="82">
        <v>0.1</v>
      </c>
      <c r="C33" s="82">
        <v>3.5</v>
      </c>
      <c r="D33" s="82">
        <v>21.8</v>
      </c>
      <c r="E33" s="82">
        <v>22.6</v>
      </c>
      <c r="F33" s="82">
        <v>49.2</v>
      </c>
      <c r="G33" s="82">
        <v>0</v>
      </c>
      <c r="H33" s="82">
        <v>2.9</v>
      </c>
      <c r="I33" s="82">
        <v>23.6</v>
      </c>
      <c r="J33" s="82">
        <v>1.2</v>
      </c>
      <c r="K33" s="82">
        <v>100</v>
      </c>
      <c r="L33" s="82">
        <v>1132</v>
      </c>
      <c r="M33" s="82">
        <v>2561</v>
      </c>
      <c r="N33" s="82">
        <v>3.2</v>
      </c>
    </row>
    <row r="34" spans="1:14" x14ac:dyDescent="0.3">
      <c r="A34" s="81" t="s">
        <v>50</v>
      </c>
      <c r="B34" s="82">
        <v>16</v>
      </c>
      <c r="C34" s="82">
        <v>0</v>
      </c>
      <c r="D34" s="82">
        <v>52</v>
      </c>
      <c r="E34" s="82">
        <v>0</v>
      </c>
      <c r="F34" s="82">
        <v>32</v>
      </c>
      <c r="G34" s="82">
        <v>0</v>
      </c>
      <c r="H34" s="82">
        <v>0</v>
      </c>
      <c r="I34" s="82">
        <v>32</v>
      </c>
      <c r="J34" s="82">
        <v>16</v>
      </c>
      <c r="K34" s="82">
        <v>100</v>
      </c>
      <c r="L34" s="82">
        <v>25</v>
      </c>
      <c r="M34" s="82">
        <v>866</v>
      </c>
      <c r="N34" s="82">
        <v>0</v>
      </c>
    </row>
    <row r="35" spans="1:14" x14ac:dyDescent="0.3">
      <c r="A35" s="81" t="s">
        <v>51</v>
      </c>
      <c r="B35" s="82">
        <v>0.3</v>
      </c>
      <c r="C35" s="82">
        <v>1.9</v>
      </c>
      <c r="D35" s="82">
        <v>6.7</v>
      </c>
      <c r="E35" s="82">
        <v>19.5</v>
      </c>
      <c r="F35" s="82">
        <v>70.099999999999994</v>
      </c>
      <c r="G35" s="82">
        <v>0</v>
      </c>
      <c r="H35" s="82">
        <v>1.5</v>
      </c>
      <c r="I35" s="82">
        <v>31.2</v>
      </c>
      <c r="J35" s="82">
        <v>0.9</v>
      </c>
      <c r="K35" s="82">
        <v>100</v>
      </c>
      <c r="L35" s="82">
        <v>672</v>
      </c>
      <c r="M35" s="82">
        <v>4873</v>
      </c>
      <c r="N35" s="82">
        <v>3.1</v>
      </c>
    </row>
    <row r="36" spans="1:14" x14ac:dyDescent="0.3">
      <c r="A36" s="81" t="s">
        <v>52</v>
      </c>
      <c r="B36" s="82">
        <v>0</v>
      </c>
      <c r="C36" s="82">
        <v>1.7</v>
      </c>
      <c r="D36" s="82">
        <v>10.3</v>
      </c>
      <c r="E36" s="82">
        <v>53.4</v>
      </c>
      <c r="F36" s="82">
        <v>24.2</v>
      </c>
      <c r="G36" s="82">
        <v>0</v>
      </c>
      <c r="H36" s="82">
        <v>10.3</v>
      </c>
      <c r="I36" s="82">
        <v>29.3</v>
      </c>
      <c r="J36" s="82">
        <v>3.4</v>
      </c>
      <c r="K36" s="82">
        <v>100</v>
      </c>
      <c r="L36" s="82">
        <v>58</v>
      </c>
      <c r="M36" s="82">
        <v>2661</v>
      </c>
      <c r="N36" s="82">
        <v>1.7</v>
      </c>
    </row>
    <row r="37" spans="1:14" x14ac:dyDescent="0.3">
      <c r="A37" s="81" t="s">
        <v>53</v>
      </c>
      <c r="B37" s="82">
        <v>15.4</v>
      </c>
      <c r="C37" s="82">
        <v>0</v>
      </c>
      <c r="D37" s="82">
        <v>11.5</v>
      </c>
      <c r="E37" s="82">
        <v>7.7</v>
      </c>
      <c r="F37" s="82">
        <v>65.400000000000006</v>
      </c>
      <c r="G37" s="82">
        <v>0</v>
      </c>
      <c r="H37" s="82">
        <v>0</v>
      </c>
      <c r="I37" s="82">
        <v>19.2</v>
      </c>
      <c r="J37" s="82">
        <v>7.7</v>
      </c>
      <c r="K37" s="82">
        <v>100</v>
      </c>
      <c r="L37" s="82">
        <v>26</v>
      </c>
      <c r="M37" s="82">
        <v>483</v>
      </c>
      <c r="N37" s="82">
        <v>0</v>
      </c>
    </row>
    <row r="38" spans="1:14" x14ac:dyDescent="0.3">
      <c r="A38" s="81" t="s">
        <v>54</v>
      </c>
      <c r="B38" s="82">
        <v>0</v>
      </c>
      <c r="C38" s="82">
        <v>0</v>
      </c>
      <c r="D38" s="82">
        <v>1.9</v>
      </c>
      <c r="E38" s="82">
        <v>34.799999999999997</v>
      </c>
      <c r="F38" s="82">
        <v>59.6</v>
      </c>
      <c r="G38" s="82">
        <v>0</v>
      </c>
      <c r="H38" s="82">
        <v>3.7</v>
      </c>
      <c r="I38" s="82">
        <v>22.4</v>
      </c>
      <c r="J38" s="82">
        <v>0.6</v>
      </c>
      <c r="K38" s="82">
        <v>100</v>
      </c>
      <c r="L38" s="82">
        <v>161</v>
      </c>
      <c r="M38" s="82">
        <v>3593</v>
      </c>
      <c r="N38" s="82">
        <v>5.6</v>
      </c>
    </row>
    <row r="39" spans="1:14" x14ac:dyDescent="0.3">
      <c r="A39" s="81" t="s">
        <v>55</v>
      </c>
      <c r="B39" s="82">
        <v>9.9</v>
      </c>
      <c r="C39" s="82">
        <v>2.2999999999999998</v>
      </c>
      <c r="D39" s="82">
        <v>10.5</v>
      </c>
      <c r="E39" s="82">
        <v>21.7</v>
      </c>
      <c r="F39" s="82">
        <v>48.5</v>
      </c>
      <c r="G39" s="82">
        <v>0</v>
      </c>
      <c r="H39" s="82">
        <v>7</v>
      </c>
      <c r="I39" s="82">
        <v>26.9</v>
      </c>
      <c r="J39" s="82">
        <v>2.2999999999999998</v>
      </c>
      <c r="K39" s="82">
        <v>100</v>
      </c>
      <c r="L39" s="82">
        <v>171</v>
      </c>
      <c r="M39" s="82">
        <v>1816</v>
      </c>
      <c r="N39" s="82">
        <v>0.6</v>
      </c>
    </row>
    <row r="40" spans="1:14" x14ac:dyDescent="0.3">
      <c r="A40" s="81" t="s">
        <v>56</v>
      </c>
      <c r="B40" s="82">
        <v>0.6</v>
      </c>
      <c r="C40" s="82">
        <v>0.9</v>
      </c>
      <c r="D40" s="82">
        <v>36.4</v>
      </c>
      <c r="E40" s="82">
        <v>3.4</v>
      </c>
      <c r="F40" s="82">
        <v>50</v>
      </c>
      <c r="G40" s="82">
        <v>2.7</v>
      </c>
      <c r="H40" s="82">
        <v>5.9</v>
      </c>
      <c r="I40" s="82">
        <v>28.3</v>
      </c>
      <c r="J40" s="82">
        <v>16.7</v>
      </c>
      <c r="K40" s="82">
        <v>100</v>
      </c>
      <c r="L40" s="82">
        <v>896</v>
      </c>
      <c r="M40" s="82">
        <v>1289</v>
      </c>
      <c r="N40" s="82">
        <v>3.2</v>
      </c>
    </row>
    <row r="41" spans="1:14" x14ac:dyDescent="0.3">
      <c r="A41" s="81" t="s">
        <v>57</v>
      </c>
      <c r="B41" s="82">
        <v>0.3</v>
      </c>
      <c r="C41" s="82">
        <v>0.3</v>
      </c>
      <c r="D41" s="82">
        <v>36.200000000000003</v>
      </c>
      <c r="E41" s="82">
        <v>20.9</v>
      </c>
      <c r="F41" s="82">
        <v>38.799999999999997</v>
      </c>
      <c r="G41" s="82">
        <v>0.2</v>
      </c>
      <c r="H41" s="82">
        <v>3.3</v>
      </c>
      <c r="I41" s="82">
        <v>33.9</v>
      </c>
      <c r="J41" s="82">
        <v>7.9</v>
      </c>
      <c r="K41" s="82">
        <v>100</v>
      </c>
      <c r="L41" s="82">
        <v>572</v>
      </c>
      <c r="M41" s="82">
        <v>3006</v>
      </c>
      <c r="N41" s="82">
        <v>1.9</v>
      </c>
    </row>
    <row r="42" spans="1:14" x14ac:dyDescent="0.3">
      <c r="A42" s="81" t="s">
        <v>58</v>
      </c>
      <c r="B42" s="82">
        <v>0</v>
      </c>
      <c r="C42" s="82">
        <v>0</v>
      </c>
      <c r="D42" s="82">
        <v>13.8</v>
      </c>
      <c r="E42" s="82">
        <v>10.3</v>
      </c>
      <c r="F42" s="82">
        <v>75.900000000000006</v>
      </c>
      <c r="G42" s="82">
        <v>0</v>
      </c>
      <c r="H42" s="82">
        <v>0</v>
      </c>
      <c r="I42" s="82">
        <v>34.4</v>
      </c>
      <c r="J42" s="82">
        <v>0</v>
      </c>
      <c r="K42" s="82">
        <v>100</v>
      </c>
      <c r="L42" s="82">
        <v>29</v>
      </c>
      <c r="M42" s="82">
        <v>312</v>
      </c>
      <c r="N42" s="82">
        <v>10.3</v>
      </c>
    </row>
    <row r="43" spans="1:14" x14ac:dyDescent="0.3">
      <c r="A43" s="81" t="s">
        <v>59</v>
      </c>
      <c r="B43" s="82">
        <v>0</v>
      </c>
      <c r="C43" s="82">
        <v>0.8</v>
      </c>
      <c r="D43" s="82">
        <v>2.8</v>
      </c>
      <c r="E43" s="82">
        <v>76</v>
      </c>
      <c r="F43" s="82">
        <v>19.2</v>
      </c>
      <c r="G43" s="82">
        <v>0</v>
      </c>
      <c r="H43" s="82">
        <v>1.2</v>
      </c>
      <c r="I43" s="82">
        <v>23.6</v>
      </c>
      <c r="J43" s="82">
        <v>1.2</v>
      </c>
      <c r="K43" s="82">
        <v>100</v>
      </c>
      <c r="L43" s="82">
        <v>250</v>
      </c>
      <c r="M43" s="82">
        <v>1243</v>
      </c>
      <c r="N43" s="82">
        <v>2.4</v>
      </c>
    </row>
    <row r="44" spans="1:14" x14ac:dyDescent="0.3">
      <c r="A44" s="81" t="s">
        <v>60</v>
      </c>
      <c r="B44" s="82">
        <v>9.5</v>
      </c>
      <c r="C44" s="82">
        <v>0</v>
      </c>
      <c r="D44" s="82">
        <v>7.2</v>
      </c>
      <c r="E44" s="82">
        <v>7.2</v>
      </c>
      <c r="F44" s="82">
        <v>71.400000000000006</v>
      </c>
      <c r="G44" s="82">
        <v>0</v>
      </c>
      <c r="H44" s="82">
        <v>4.7</v>
      </c>
      <c r="I44" s="82">
        <v>40.5</v>
      </c>
      <c r="J44" s="82">
        <v>0</v>
      </c>
      <c r="K44" s="82">
        <v>100</v>
      </c>
      <c r="L44" s="82">
        <v>42</v>
      </c>
      <c r="M44" s="82">
        <v>698</v>
      </c>
      <c r="N44" s="82">
        <v>2.4</v>
      </c>
    </row>
    <row r="45" spans="1:14" x14ac:dyDescent="0.3">
      <c r="A45" s="81" t="s">
        <v>61</v>
      </c>
      <c r="B45" s="82">
        <v>0</v>
      </c>
      <c r="C45" s="82">
        <v>0.8</v>
      </c>
      <c r="D45" s="82">
        <v>5.6</v>
      </c>
      <c r="E45" s="82">
        <v>13.7</v>
      </c>
      <c r="F45" s="82">
        <v>75.8</v>
      </c>
      <c r="G45" s="82">
        <v>0</v>
      </c>
      <c r="H45" s="82">
        <v>4.0999999999999996</v>
      </c>
      <c r="I45" s="82">
        <v>15.3</v>
      </c>
      <c r="J45" s="82">
        <v>0</v>
      </c>
      <c r="K45" s="82">
        <v>100</v>
      </c>
      <c r="L45" s="82">
        <v>124</v>
      </c>
      <c r="M45" s="82">
        <v>1777</v>
      </c>
      <c r="N45" s="82">
        <v>2.4</v>
      </c>
    </row>
    <row r="46" spans="1:14" x14ac:dyDescent="0.3">
      <c r="A46" s="81" t="s">
        <v>62</v>
      </c>
      <c r="B46" s="82">
        <v>0.6</v>
      </c>
      <c r="C46" s="82">
        <v>0.9</v>
      </c>
      <c r="D46" s="82">
        <v>49.3</v>
      </c>
      <c r="E46" s="82">
        <v>24.6</v>
      </c>
      <c r="F46" s="82">
        <v>21.3</v>
      </c>
      <c r="G46" s="82">
        <v>0</v>
      </c>
      <c r="H46" s="82">
        <v>3.4</v>
      </c>
      <c r="I46" s="82">
        <v>21.2</v>
      </c>
      <c r="J46" s="82">
        <v>18.5</v>
      </c>
      <c r="K46" s="82">
        <v>100</v>
      </c>
      <c r="L46" s="82">
        <v>325</v>
      </c>
      <c r="M46" s="82">
        <v>8758</v>
      </c>
      <c r="N46" s="82">
        <v>8.9</v>
      </c>
    </row>
    <row r="47" spans="1:14" x14ac:dyDescent="0.3">
      <c r="A47" s="81" t="s">
        <v>63</v>
      </c>
      <c r="B47" s="82">
        <v>4.5999999999999996</v>
      </c>
      <c r="C47" s="82">
        <v>0.3</v>
      </c>
      <c r="D47" s="82">
        <v>26.4</v>
      </c>
      <c r="E47" s="82">
        <v>2.4</v>
      </c>
      <c r="F47" s="82">
        <v>61.1</v>
      </c>
      <c r="G47" s="82">
        <v>2.2000000000000002</v>
      </c>
      <c r="H47" s="82">
        <v>3.1</v>
      </c>
      <c r="I47" s="82">
        <v>20</v>
      </c>
      <c r="J47" s="82">
        <v>11.9</v>
      </c>
      <c r="K47" s="82">
        <v>100</v>
      </c>
      <c r="L47" s="82">
        <v>329</v>
      </c>
      <c r="M47" s="82">
        <v>1029</v>
      </c>
      <c r="N47" s="82">
        <v>1.5</v>
      </c>
    </row>
    <row r="48" spans="1:14" x14ac:dyDescent="0.3">
      <c r="A48" s="81" t="s">
        <v>64</v>
      </c>
      <c r="B48" s="82">
        <v>0</v>
      </c>
      <c r="C48" s="82">
        <v>1</v>
      </c>
      <c r="D48" s="82">
        <v>1</v>
      </c>
      <c r="E48" s="82">
        <v>5</v>
      </c>
      <c r="F48" s="82">
        <v>91.2</v>
      </c>
      <c r="G48" s="82">
        <v>0</v>
      </c>
      <c r="H48" s="82">
        <v>1.9</v>
      </c>
      <c r="I48" s="82">
        <v>26.5</v>
      </c>
      <c r="J48" s="82">
        <v>0</v>
      </c>
      <c r="K48" s="82">
        <v>100</v>
      </c>
      <c r="L48" s="82">
        <v>102</v>
      </c>
      <c r="M48" s="82">
        <v>302</v>
      </c>
      <c r="N48" s="82">
        <v>6.9</v>
      </c>
    </row>
    <row r="49" spans="1:14" x14ac:dyDescent="0.3">
      <c r="A49" s="81" t="s">
        <v>65</v>
      </c>
      <c r="B49" s="82">
        <v>0</v>
      </c>
      <c r="C49" s="82">
        <v>0</v>
      </c>
      <c r="D49" s="82">
        <v>13.1</v>
      </c>
      <c r="E49" s="82">
        <v>66.8</v>
      </c>
      <c r="F49" s="82">
        <v>16.899999999999999</v>
      </c>
      <c r="G49" s="82">
        <v>0</v>
      </c>
      <c r="H49" s="82">
        <v>3.1</v>
      </c>
      <c r="I49" s="82">
        <v>31.3</v>
      </c>
      <c r="J49" s="82">
        <v>8.1</v>
      </c>
      <c r="K49" s="82">
        <v>98.4</v>
      </c>
      <c r="L49" s="82">
        <v>160</v>
      </c>
      <c r="M49" s="82">
        <v>1982</v>
      </c>
      <c r="N49" s="82">
        <v>0.6</v>
      </c>
    </row>
    <row r="50" spans="1:14" x14ac:dyDescent="0.3">
      <c r="A50" s="81" t="s">
        <v>66</v>
      </c>
      <c r="B50" s="82">
        <v>2</v>
      </c>
      <c r="C50" s="82">
        <v>1.5</v>
      </c>
      <c r="D50" s="82">
        <v>21.9</v>
      </c>
      <c r="E50" s="82">
        <v>12.1</v>
      </c>
      <c r="F50" s="82">
        <v>54.9</v>
      </c>
      <c r="G50" s="82">
        <v>1.2</v>
      </c>
      <c r="H50" s="82">
        <v>6.4</v>
      </c>
      <c r="I50" s="82">
        <v>28.3</v>
      </c>
      <c r="J50" s="82">
        <v>10.1</v>
      </c>
      <c r="K50" s="82">
        <v>100</v>
      </c>
      <c r="L50" s="82">
        <v>346</v>
      </c>
      <c r="M50" s="82">
        <v>2339</v>
      </c>
      <c r="N50" s="82">
        <v>4</v>
      </c>
    </row>
    <row r="51" spans="1:14" x14ac:dyDescent="0.3">
      <c r="A51" s="81" t="s">
        <v>67</v>
      </c>
      <c r="B51" s="82">
        <v>0</v>
      </c>
      <c r="C51" s="82">
        <v>0</v>
      </c>
      <c r="D51" s="82">
        <v>0</v>
      </c>
      <c r="E51" s="82">
        <v>5.0999999999999996</v>
      </c>
      <c r="F51" s="82">
        <v>92.3</v>
      </c>
      <c r="G51" s="82">
        <v>0</v>
      </c>
      <c r="H51" s="82">
        <v>2.5</v>
      </c>
      <c r="I51" s="82">
        <v>25.7</v>
      </c>
      <c r="J51" s="82">
        <v>0</v>
      </c>
      <c r="K51" s="82">
        <v>100</v>
      </c>
      <c r="L51" s="82">
        <v>39</v>
      </c>
      <c r="M51" s="82">
        <v>691</v>
      </c>
      <c r="N51" s="82">
        <v>0</v>
      </c>
    </row>
    <row r="52" spans="1:14" x14ac:dyDescent="0.3">
      <c r="A52" s="81" t="s">
        <v>68</v>
      </c>
      <c r="B52" s="82">
        <v>1</v>
      </c>
      <c r="C52" s="82">
        <v>0.3</v>
      </c>
      <c r="D52" s="82">
        <v>11.7</v>
      </c>
      <c r="E52" s="82">
        <v>12.2</v>
      </c>
      <c r="F52" s="82">
        <v>71.8</v>
      </c>
      <c r="G52" s="82">
        <v>0.3</v>
      </c>
      <c r="H52" s="82">
        <v>2.9</v>
      </c>
      <c r="I52" s="82">
        <v>29.9</v>
      </c>
      <c r="J52" s="82">
        <v>2.9</v>
      </c>
      <c r="K52" s="82">
        <v>100</v>
      </c>
      <c r="L52" s="82">
        <v>411</v>
      </c>
      <c r="M52" s="82">
        <v>2235</v>
      </c>
      <c r="N52" s="82">
        <v>0.5</v>
      </c>
    </row>
    <row r="53" spans="1:14" x14ac:dyDescent="0.3">
      <c r="A53" s="81" t="s">
        <v>69</v>
      </c>
      <c r="B53" s="82">
        <v>0</v>
      </c>
      <c r="C53" s="82">
        <v>4</v>
      </c>
      <c r="D53" s="82">
        <v>0</v>
      </c>
      <c r="E53" s="82">
        <v>0</v>
      </c>
      <c r="F53" s="82">
        <v>88</v>
      </c>
      <c r="G53" s="82">
        <v>0</v>
      </c>
      <c r="H53" s="82">
        <v>8</v>
      </c>
      <c r="I53" s="82">
        <v>8</v>
      </c>
      <c r="J53" s="82">
        <v>0</v>
      </c>
      <c r="K53" s="82">
        <v>100</v>
      </c>
      <c r="L53" s="82">
        <v>25</v>
      </c>
      <c r="M53" s="82">
        <v>366</v>
      </c>
      <c r="N53" s="82">
        <v>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952AD2-9177-45AD-BADD-1288CD23BD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Dashboard</vt:lpstr>
      <vt:lpstr>Total</vt:lpstr>
      <vt:lpstr>Male</vt:lpstr>
      <vt:lpstr>Female</vt:lpstr>
      <vt:lpstr>Worksheet(Male)</vt:lpstr>
      <vt:lpstr>Worksheet(Female)</vt:lpstr>
      <vt:lpstr>Worksheet(Total)</vt:lpstr>
      <vt:lpstr>Pivot Table</vt:lpstr>
      <vt:lpstr>Female!Print_Area</vt:lpstr>
      <vt:lpstr>Male!Print_Area</vt:lpstr>
      <vt:lpstr>Total!Print_Area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for Civil Rights</dc:creator>
  <cp:lastModifiedBy>prosper akoma</cp:lastModifiedBy>
  <cp:revision/>
  <dcterms:created xsi:type="dcterms:W3CDTF">2014-03-02T22:16:30Z</dcterms:created>
  <dcterms:modified xsi:type="dcterms:W3CDTF">2026-05-16T20:50:09Z</dcterms:modified>
</cp:coreProperties>
</file>